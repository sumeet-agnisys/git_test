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filterPrivacy="1" codeName="ThisWorkbook"/>
  <xr:revisionPtr revIDLastSave="0" documentId="8_{04BE0B11-DB28-45D4-A07D-0600537A42E4}" xr6:coauthVersionLast="31" xr6:coauthVersionMax="31" xr10:uidLastSave="{00000000-0000-0000-0000-000000000000}"/>
  <bookViews>
    <workbookView xWindow="0" yWindow="0" windowWidth="18810" windowHeight="6620" activeTab="3" xr2:uid="{00000000-000D-0000-FFFF-FFFF00000000}"/>
  </bookViews>
  <sheets>
    <sheet name="Generate" sheetId="1" r:id="rId1"/>
    <sheet name="IDS_View" sheetId="29" r:id="rId2"/>
    <sheet name="Summary_View" sheetId="30" r:id="rId3"/>
    <sheet name="Mem_Dump" sheetId="37" r:id="rId4"/>
  </sheets>
  <definedNames>
    <definedName name="BINAC" localSheetId="3">#REF!</definedName>
    <definedName name="BINAC">#REF!</definedName>
    <definedName name="BOFFAC" localSheetId="3">#REF!</definedName>
    <definedName name="BOFFAC">#REF!</definedName>
    <definedName name="BOFFAF" localSheetId="3">#REF!</definedName>
    <definedName name="BOFFAF">#REF!</definedName>
    <definedName name="BW" localSheetId="3">#REF!</definedName>
    <definedName name="BW">#REF!</definedName>
    <definedName name="Clamps" localSheetId="3">#REF!</definedName>
    <definedName name="Clamps">#REF!</definedName>
    <definedName name="Clock" localSheetId="3">#REF!</definedName>
    <definedName name="Clock">#REF!</definedName>
    <definedName name="Comm" localSheetId="3">#REF!</definedName>
    <definedName name="Comm">#REF!</definedName>
    <definedName name="CONTACT_FIN" localSheetId="3">#REF!</definedName>
    <definedName name="CONTACT_FIN">#REF!</definedName>
    <definedName name="DataRetention" localSheetId="3">#REF!</definedName>
    <definedName name="DataRetention">#REF!</definedName>
    <definedName name="DEBUG" localSheetId="3">#REF!</definedName>
    <definedName name="DEBUG">#REF!</definedName>
    <definedName name="DFT" localSheetId="3">#REF!</definedName>
    <definedName name="DFT">#REF!</definedName>
    <definedName name="DieInfo" localSheetId="3">#REF!</definedName>
    <definedName name="DieInfo">#REF!</definedName>
    <definedName name="FE_Char" localSheetId="3">#REF!</definedName>
    <definedName name="FE_Char">#REF!</definedName>
    <definedName name="InitialContact" localSheetId="3">#REF!</definedName>
    <definedName name="InitialContact">#REF!</definedName>
    <definedName name="Linearity" localSheetId="3">#REF!</definedName>
    <definedName name="Linearity">#REF!</definedName>
    <definedName name="Linearization" localSheetId="3">#REF!</definedName>
    <definedName name="Linearization">#REF!</definedName>
    <definedName name="Offsets" localSheetId="3">#REF!</definedName>
    <definedName name="Offsets">#REF!</definedName>
    <definedName name="Output" localSheetId="3">#REF!</definedName>
    <definedName name="Output">#REF!</definedName>
    <definedName name="QDC_TM" localSheetId="3">#REF!</definedName>
    <definedName name="QDC_TM">#REF!</definedName>
    <definedName name="QVOC" localSheetId="3">#REF!</definedName>
    <definedName name="QVOC">#REF!</definedName>
    <definedName name="QVOF" localSheetId="3">#REF!</definedName>
    <definedName name="QVOF">#REF!</definedName>
    <definedName name="Range" localSheetId="3">#REF!</definedName>
    <definedName name="Range">#REF!</definedName>
    <definedName name="Ratiometery" localSheetId="3">#REF!</definedName>
    <definedName name="Ratiometery">#REF!</definedName>
    <definedName name="Regs_Refs" localSheetId="3">#REF!</definedName>
    <definedName name="Regs_Refs">#REF!</definedName>
    <definedName name="SDM" localSheetId="3">#REF!</definedName>
    <definedName name="SDM">#REF!</definedName>
    <definedName name="SENAF" localSheetId="3">#REF!</definedName>
    <definedName name="SENAF">#REF!</definedName>
    <definedName name="Sens_TM" localSheetId="3">#REF!</definedName>
    <definedName name="Sens_TM">#REF!</definedName>
    <definedName name="SENSDC" localSheetId="3">#REF!</definedName>
    <definedName name="SENSDC">#REF!</definedName>
    <definedName name="SENSDF" localSheetId="3">#REF!</definedName>
    <definedName name="SENSDF">#REF!</definedName>
    <definedName name="SensPerRange" localSheetId="3">#REF!</definedName>
    <definedName name="SensPerRange">#REF!</definedName>
    <definedName name="Supply" localSheetId="3">#REF!</definedName>
    <definedName name="Supply">#REF!</definedName>
    <definedName name="TempOffset" localSheetId="3">#REF!</definedName>
    <definedName name="TempOffset">#REF!</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27" i="29" l="1"/>
  <c r="H427" i="29"/>
  <c r="I427" i="29"/>
  <c r="K426" i="29"/>
  <c r="H426" i="29"/>
  <c r="I426" i="29"/>
  <c r="K425" i="29"/>
  <c r="H425" i="29"/>
  <c r="I425" i="29"/>
  <c r="K424" i="29"/>
  <c r="I424" i="29"/>
  <c r="K423" i="29"/>
  <c r="H423" i="29"/>
  <c r="I423" i="29"/>
  <c r="K422" i="29"/>
  <c r="I422" i="29"/>
  <c r="K421" i="29"/>
  <c r="H421" i="29"/>
  <c r="I421" i="29"/>
  <c r="K420" i="29"/>
  <c r="H420" i="29"/>
  <c r="I420" i="29"/>
  <c r="K419" i="29"/>
  <c r="H419" i="29"/>
  <c r="I419" i="29"/>
  <c r="K418" i="29"/>
  <c r="H418" i="29"/>
  <c r="I418" i="29"/>
  <c r="K417" i="29"/>
  <c r="H417" i="29"/>
  <c r="I417" i="29"/>
  <c r="K416" i="29"/>
  <c r="H416" i="29"/>
  <c r="I416" i="29"/>
  <c r="K415" i="29"/>
  <c r="H415" i="29"/>
  <c r="I415" i="29"/>
  <c r="K414" i="29"/>
  <c r="H414" i="29"/>
  <c r="I414" i="29"/>
  <c r="K413" i="29"/>
  <c r="H413" i="29"/>
  <c r="I413" i="29"/>
  <c r="K412" i="29"/>
  <c r="H412" i="29"/>
  <c r="I412" i="29"/>
  <c r="K411" i="29"/>
  <c r="H411" i="29"/>
  <c r="I411" i="29"/>
  <c r="K410" i="29"/>
  <c r="H410" i="29"/>
  <c r="I410" i="29"/>
  <c r="K409" i="29"/>
  <c r="H409" i="29"/>
  <c r="I409" i="29"/>
  <c r="K408" i="29"/>
  <c r="I408" i="29"/>
  <c r="K407" i="29"/>
  <c r="H407" i="29"/>
  <c r="I407" i="29"/>
  <c r="K406" i="29"/>
  <c r="H406" i="29"/>
  <c r="I406" i="29"/>
  <c r="K405" i="29"/>
  <c r="H405" i="29"/>
  <c r="I405" i="29"/>
  <c r="K404" i="29"/>
  <c r="H404" i="29"/>
  <c r="I404" i="29"/>
  <c r="K403" i="29"/>
  <c r="H403" i="29"/>
  <c r="I403" i="29"/>
  <c r="K402" i="29"/>
  <c r="H402" i="29"/>
  <c r="I402" i="29"/>
  <c r="K401" i="29"/>
  <c r="H401" i="29"/>
  <c r="I401" i="29"/>
  <c r="K400" i="29"/>
  <c r="H400" i="29"/>
  <c r="I400" i="29"/>
  <c r="K399" i="29"/>
  <c r="H399" i="29"/>
  <c r="I399" i="29"/>
  <c r="K398" i="29"/>
  <c r="H398" i="29"/>
  <c r="I398" i="29"/>
  <c r="K397" i="29"/>
  <c r="H397" i="29"/>
  <c r="I397" i="29"/>
  <c r="K396" i="29"/>
  <c r="H396" i="29"/>
  <c r="I396" i="29"/>
  <c r="K395" i="29"/>
  <c r="H395" i="29"/>
  <c r="I395" i="29"/>
  <c r="K394" i="29"/>
  <c r="H394" i="29"/>
  <c r="I394" i="29"/>
  <c r="K393" i="29"/>
  <c r="H393" i="29"/>
  <c r="I393" i="29"/>
  <c r="K392" i="29"/>
  <c r="H392" i="29"/>
  <c r="I392" i="29"/>
  <c r="K391" i="29"/>
  <c r="H391" i="29"/>
  <c r="I391" i="29"/>
  <c r="K390" i="29"/>
  <c r="H390" i="29"/>
  <c r="I390" i="29"/>
  <c r="K389" i="29"/>
  <c r="H389" i="29"/>
  <c r="I389" i="29"/>
  <c r="K388" i="29"/>
  <c r="H388" i="29"/>
  <c r="I388" i="29"/>
  <c r="K387" i="29"/>
  <c r="H387" i="29"/>
  <c r="I387" i="29"/>
  <c r="K386" i="29"/>
  <c r="H386" i="29"/>
  <c r="I386" i="29"/>
  <c r="K385" i="29"/>
  <c r="H385" i="29"/>
  <c r="I385" i="29"/>
  <c r="K384" i="29"/>
  <c r="H384" i="29"/>
  <c r="I384" i="29"/>
  <c r="K383" i="29"/>
  <c r="H383" i="29"/>
  <c r="I383" i="29"/>
  <c r="K382" i="29"/>
  <c r="I382" i="29"/>
  <c r="K381" i="29"/>
  <c r="I381" i="29"/>
  <c r="K380" i="29"/>
  <c r="I380" i="29"/>
  <c r="K379" i="29"/>
  <c r="I379" i="29"/>
  <c r="K378" i="29"/>
  <c r="I378" i="29"/>
  <c r="K377" i="29"/>
  <c r="I377" i="29"/>
  <c r="K376" i="29"/>
  <c r="I376" i="29"/>
  <c r="K375" i="29"/>
  <c r="H375" i="29"/>
  <c r="I375" i="29"/>
  <c r="K374" i="29"/>
  <c r="I374" i="29"/>
  <c r="K373" i="29"/>
  <c r="I373" i="29"/>
  <c r="K372" i="29"/>
  <c r="I372" i="29"/>
  <c r="K371" i="29"/>
  <c r="I371" i="29"/>
  <c r="K370" i="29"/>
  <c r="I370" i="29"/>
  <c r="K369" i="29"/>
  <c r="I369" i="29"/>
  <c r="K368" i="29"/>
  <c r="I368" i="29"/>
  <c r="K367" i="29"/>
  <c r="H367" i="29"/>
  <c r="I367" i="29"/>
  <c r="K366" i="29"/>
  <c r="H366" i="29"/>
  <c r="I366" i="29"/>
  <c r="K365" i="29"/>
  <c r="I365" i="29"/>
  <c r="K364" i="29"/>
  <c r="I364" i="29"/>
  <c r="K363" i="29"/>
  <c r="I363" i="29"/>
  <c r="K362" i="29"/>
  <c r="I362" i="29"/>
  <c r="K361" i="29"/>
  <c r="I361" i="29"/>
  <c r="K360" i="29"/>
  <c r="I360" i="29"/>
  <c r="K359" i="29"/>
  <c r="I359" i="29"/>
  <c r="K358" i="29"/>
  <c r="I358" i="29"/>
  <c r="K357" i="29"/>
  <c r="I357" i="29"/>
  <c r="K356" i="29"/>
  <c r="I356" i="29"/>
  <c r="K355" i="29"/>
  <c r="H355" i="29"/>
  <c r="I355" i="29"/>
  <c r="K354" i="29"/>
  <c r="I354" i="29"/>
  <c r="K353" i="29"/>
  <c r="I353" i="29"/>
  <c r="K352" i="29"/>
  <c r="I352" i="29"/>
  <c r="K351" i="29"/>
  <c r="I351" i="29"/>
  <c r="K350" i="29"/>
  <c r="I350" i="29"/>
  <c r="K349" i="29"/>
  <c r="I349" i="29"/>
  <c r="K348" i="29"/>
  <c r="I348" i="29"/>
  <c r="K347" i="29"/>
  <c r="I347" i="29"/>
  <c r="K346" i="29"/>
  <c r="I346" i="29"/>
  <c r="K345" i="29"/>
  <c r="I345" i="29"/>
  <c r="K344" i="29"/>
  <c r="I344" i="29"/>
  <c r="K343" i="29"/>
  <c r="H343" i="29"/>
  <c r="I343" i="29"/>
  <c r="K342" i="29"/>
  <c r="H342" i="29"/>
  <c r="I342" i="29"/>
  <c r="K341" i="29"/>
  <c r="I341" i="29"/>
  <c r="K340" i="29"/>
  <c r="I340" i="29"/>
  <c r="K339" i="29"/>
  <c r="I339" i="29"/>
  <c r="K338" i="29"/>
  <c r="H338" i="29"/>
  <c r="I338" i="29"/>
  <c r="K337" i="29"/>
  <c r="I337" i="29"/>
  <c r="K336" i="29"/>
  <c r="I336" i="29"/>
  <c r="K335" i="29"/>
  <c r="H335" i="29"/>
  <c r="I335" i="29"/>
  <c r="K334" i="29"/>
  <c r="I334" i="29"/>
  <c r="K333" i="29"/>
  <c r="H333" i="29"/>
  <c r="I333" i="29"/>
  <c r="K332" i="29"/>
  <c r="I332" i="29"/>
  <c r="K331" i="29"/>
  <c r="I331" i="29"/>
  <c r="K330" i="29"/>
  <c r="H330" i="29"/>
  <c r="I330" i="29"/>
  <c r="K329" i="29"/>
  <c r="H329" i="29"/>
  <c r="I329" i="29"/>
  <c r="K328" i="29"/>
  <c r="H328" i="29"/>
  <c r="I328" i="29"/>
  <c r="K327" i="29"/>
  <c r="I327" i="29"/>
  <c r="K326" i="29"/>
  <c r="I326" i="29"/>
  <c r="K325" i="29"/>
  <c r="I325" i="29"/>
  <c r="K324" i="29"/>
  <c r="H324" i="29"/>
  <c r="I324" i="29"/>
  <c r="K323" i="29"/>
  <c r="H323" i="29"/>
  <c r="I323" i="29"/>
  <c r="K322" i="29"/>
  <c r="I322" i="29"/>
  <c r="K321" i="29"/>
  <c r="I321" i="29"/>
  <c r="K320" i="29"/>
  <c r="I320" i="29"/>
  <c r="K319" i="29"/>
  <c r="I319" i="29"/>
  <c r="K318" i="29"/>
  <c r="I318" i="29"/>
  <c r="K317" i="29"/>
  <c r="I317" i="29"/>
  <c r="K316" i="29"/>
  <c r="H316" i="29"/>
  <c r="I316" i="29"/>
  <c r="K315" i="29"/>
  <c r="I315" i="29"/>
  <c r="K314" i="29"/>
  <c r="I314" i="29"/>
  <c r="K313" i="29"/>
  <c r="I313" i="29"/>
  <c r="K312" i="29"/>
  <c r="I312" i="29"/>
  <c r="K311" i="29"/>
  <c r="I311" i="29"/>
  <c r="K310" i="29"/>
  <c r="I310" i="29"/>
  <c r="K309" i="29"/>
  <c r="H309" i="29"/>
  <c r="I309" i="29"/>
  <c r="K308" i="29"/>
  <c r="H308" i="29"/>
  <c r="I308" i="29"/>
  <c r="K307" i="29"/>
  <c r="H307" i="29"/>
  <c r="I307" i="29"/>
  <c r="K306" i="29"/>
  <c r="H306" i="29"/>
  <c r="I306" i="29"/>
  <c r="K305" i="29"/>
  <c r="H305" i="29"/>
  <c r="I305" i="29"/>
  <c r="K304" i="29"/>
  <c r="H304" i="29"/>
  <c r="I304" i="29"/>
  <c r="K303" i="29"/>
  <c r="H303" i="29"/>
  <c r="I303" i="29"/>
  <c r="K302" i="29"/>
  <c r="H302" i="29"/>
  <c r="I302" i="29"/>
  <c r="K301" i="29"/>
  <c r="I301" i="29"/>
  <c r="K300" i="29"/>
  <c r="I300" i="29"/>
  <c r="K299" i="29"/>
  <c r="I299" i="29"/>
  <c r="K298" i="29"/>
  <c r="H298" i="29"/>
  <c r="I298" i="29"/>
  <c r="K297" i="29"/>
  <c r="I297" i="29"/>
  <c r="K296" i="29"/>
  <c r="H296" i="29"/>
  <c r="I296" i="29"/>
  <c r="K295" i="29"/>
  <c r="H295" i="29"/>
  <c r="I295" i="29"/>
  <c r="K294" i="29"/>
  <c r="H294" i="29"/>
  <c r="I294" i="29"/>
  <c r="K293" i="29"/>
  <c r="I293" i="29"/>
  <c r="K292" i="29"/>
  <c r="H292" i="29"/>
  <c r="I292" i="29"/>
  <c r="K291" i="29"/>
  <c r="H291" i="29"/>
  <c r="I291" i="29"/>
  <c r="K290" i="29"/>
  <c r="H290" i="29"/>
  <c r="I290" i="29"/>
  <c r="K289" i="29"/>
  <c r="H289" i="29"/>
  <c r="I289" i="29"/>
  <c r="K288" i="29"/>
  <c r="I288" i="29"/>
  <c r="K287" i="29"/>
  <c r="I287" i="29"/>
  <c r="K286" i="29"/>
  <c r="H286" i="29"/>
  <c r="I286" i="29"/>
  <c r="K285" i="29"/>
  <c r="I285" i="29"/>
  <c r="K284" i="29"/>
  <c r="H284" i="29"/>
  <c r="I284" i="29"/>
  <c r="K283" i="29"/>
  <c r="I283" i="29"/>
  <c r="K282" i="29"/>
  <c r="H282" i="29"/>
  <c r="I282" i="29"/>
  <c r="K281" i="29"/>
  <c r="H281" i="29"/>
  <c r="I281" i="29"/>
  <c r="K280" i="29"/>
  <c r="H280" i="29"/>
  <c r="I280" i="29"/>
  <c r="K279" i="29"/>
  <c r="H279" i="29"/>
  <c r="I279" i="29"/>
  <c r="K278" i="29"/>
  <c r="H278" i="29"/>
  <c r="I278" i="29"/>
  <c r="K277" i="29"/>
  <c r="H277" i="29"/>
  <c r="I277" i="29"/>
  <c r="K276" i="29"/>
  <c r="H276" i="29"/>
  <c r="I276" i="29"/>
  <c r="K275" i="29"/>
  <c r="H275" i="29"/>
  <c r="I275" i="29"/>
  <c r="K274" i="29"/>
  <c r="H274" i="29"/>
  <c r="I274" i="29"/>
  <c r="K273" i="29"/>
  <c r="H273" i="29"/>
  <c r="I273" i="29"/>
  <c r="K272" i="29"/>
  <c r="H272" i="29"/>
  <c r="I272" i="29"/>
  <c r="K271" i="29"/>
  <c r="H271" i="29"/>
  <c r="I271" i="29"/>
  <c r="K270" i="29"/>
  <c r="H270" i="29"/>
  <c r="I270" i="29"/>
  <c r="K269" i="29"/>
  <c r="H269" i="29"/>
  <c r="I269" i="29"/>
  <c r="K268" i="29"/>
  <c r="H268" i="29"/>
  <c r="I268" i="29"/>
  <c r="K267" i="29"/>
  <c r="H267" i="29"/>
  <c r="I267" i="29"/>
  <c r="K266" i="29"/>
  <c r="H266" i="29"/>
  <c r="I266" i="29"/>
  <c r="K265" i="29"/>
  <c r="H265" i="29"/>
  <c r="I265" i="29"/>
  <c r="K264" i="29"/>
  <c r="I264" i="29"/>
  <c r="K263" i="29"/>
  <c r="I263" i="29"/>
  <c r="K262" i="29"/>
  <c r="H262" i="29"/>
  <c r="I262" i="29"/>
  <c r="K261" i="29"/>
  <c r="H261" i="29"/>
  <c r="I261" i="29"/>
  <c r="K260" i="29"/>
  <c r="H260" i="29"/>
  <c r="I260" i="29"/>
  <c r="K259" i="29"/>
  <c r="H259" i="29"/>
  <c r="I259" i="29"/>
  <c r="K258" i="29"/>
  <c r="I258" i="29"/>
  <c r="K257" i="29"/>
  <c r="I257" i="29"/>
  <c r="K256" i="29"/>
  <c r="I256" i="29"/>
  <c r="K255" i="29"/>
  <c r="H255" i="29"/>
  <c r="I255" i="29"/>
  <c r="K254" i="29"/>
  <c r="H254" i="29"/>
  <c r="I254" i="29"/>
  <c r="K253" i="29"/>
  <c r="I253" i="29"/>
  <c r="K252" i="29"/>
  <c r="I252" i="29"/>
  <c r="K251" i="29"/>
  <c r="I251" i="29"/>
  <c r="K250" i="29"/>
  <c r="I250" i="29"/>
  <c r="K249" i="29"/>
  <c r="I249" i="29"/>
  <c r="K248" i="29"/>
  <c r="I248" i="29"/>
  <c r="K247" i="29"/>
  <c r="I247" i="29"/>
  <c r="K246" i="29"/>
  <c r="H246" i="29"/>
  <c r="I246" i="29"/>
  <c r="K245" i="29"/>
  <c r="H245" i="29"/>
  <c r="I245" i="29"/>
  <c r="K244" i="29"/>
  <c r="H244" i="29"/>
  <c r="I244" i="29"/>
  <c r="K243" i="29"/>
  <c r="H243" i="29"/>
  <c r="I243" i="29"/>
  <c r="K242" i="29"/>
  <c r="H242" i="29"/>
  <c r="I242" i="29"/>
  <c r="K241" i="29"/>
  <c r="H241" i="29"/>
  <c r="I241" i="29"/>
  <c r="K240" i="29"/>
  <c r="H240" i="29"/>
  <c r="I240" i="29"/>
  <c r="K239" i="29"/>
  <c r="H239" i="29"/>
  <c r="I239" i="29"/>
  <c r="K238" i="29"/>
  <c r="H238" i="29"/>
  <c r="I238" i="29"/>
  <c r="K237" i="29"/>
  <c r="H237" i="29"/>
  <c r="I237" i="29"/>
  <c r="K236" i="29"/>
  <c r="H236" i="29"/>
  <c r="I236" i="29"/>
  <c r="K235" i="29"/>
  <c r="I235" i="29"/>
  <c r="K234" i="29"/>
  <c r="H234" i="29"/>
  <c r="I234" i="29"/>
  <c r="K233" i="29"/>
  <c r="H233" i="29"/>
  <c r="I233" i="29"/>
  <c r="K232" i="29"/>
  <c r="H232" i="29"/>
  <c r="I232" i="29"/>
  <c r="K231" i="29"/>
  <c r="H231" i="29"/>
  <c r="I231" i="29"/>
  <c r="K230" i="29"/>
  <c r="H230" i="29"/>
  <c r="I230" i="29"/>
  <c r="K229" i="29"/>
  <c r="H229" i="29"/>
  <c r="I229" i="29"/>
  <c r="K228" i="29"/>
  <c r="I228" i="29"/>
  <c r="K227" i="29"/>
  <c r="H227" i="29"/>
  <c r="I227" i="29"/>
  <c r="K226" i="29"/>
  <c r="H226" i="29"/>
  <c r="I226" i="29"/>
  <c r="K225" i="29"/>
  <c r="H225" i="29"/>
  <c r="I225" i="29"/>
  <c r="K224" i="29"/>
  <c r="H224" i="29"/>
  <c r="I224" i="29"/>
  <c r="K223" i="29"/>
  <c r="H223" i="29"/>
  <c r="I223" i="29"/>
  <c r="K222" i="29"/>
  <c r="H222" i="29"/>
  <c r="I222" i="29"/>
  <c r="K221" i="29"/>
  <c r="H221" i="29"/>
  <c r="I221" i="29"/>
  <c r="K220" i="29"/>
  <c r="I220" i="29"/>
  <c r="K219" i="29"/>
  <c r="I219" i="29"/>
  <c r="K218" i="29"/>
  <c r="H218" i="29"/>
  <c r="I218" i="29"/>
  <c r="K217" i="29"/>
  <c r="I217" i="29"/>
  <c r="K216" i="29"/>
  <c r="I216" i="29"/>
  <c r="K215" i="29"/>
  <c r="H215" i="29"/>
  <c r="I215" i="29"/>
  <c r="K214" i="29"/>
  <c r="I214" i="29"/>
  <c r="K213" i="29"/>
  <c r="H213" i="29"/>
  <c r="I213" i="29"/>
  <c r="K212" i="29"/>
  <c r="I212" i="29"/>
  <c r="K211" i="29"/>
  <c r="H211" i="29"/>
  <c r="I211" i="29"/>
  <c r="K210" i="29"/>
  <c r="I210" i="29"/>
  <c r="K209" i="29"/>
  <c r="I209" i="29"/>
  <c r="K208" i="29"/>
  <c r="I208" i="29"/>
  <c r="K207" i="29"/>
  <c r="I207" i="29"/>
  <c r="K206" i="29"/>
  <c r="I206" i="29"/>
  <c r="K205" i="29"/>
  <c r="I205" i="29"/>
  <c r="K204" i="29"/>
  <c r="I204" i="29"/>
  <c r="K203" i="29"/>
  <c r="H203" i="29"/>
  <c r="I203" i="29"/>
  <c r="K202" i="29"/>
  <c r="H202" i="29"/>
  <c r="I202" i="29"/>
  <c r="K201" i="29"/>
  <c r="I201" i="29"/>
  <c r="K200" i="29"/>
  <c r="I200" i="29"/>
  <c r="K199" i="29"/>
  <c r="I199" i="29"/>
  <c r="K198" i="29"/>
  <c r="H198" i="29"/>
  <c r="I198" i="29"/>
  <c r="K197" i="29"/>
  <c r="I197" i="29"/>
  <c r="K196" i="29"/>
  <c r="I196" i="29"/>
  <c r="K195" i="29"/>
  <c r="H195" i="29"/>
  <c r="I195" i="29"/>
  <c r="K194" i="29"/>
  <c r="I194" i="29"/>
  <c r="K193" i="29"/>
  <c r="I193" i="29"/>
  <c r="K192" i="29"/>
  <c r="I192" i="29"/>
  <c r="K191" i="29"/>
  <c r="H191" i="29"/>
  <c r="I191" i="29"/>
  <c r="K190" i="29"/>
  <c r="H190" i="29"/>
  <c r="I190" i="29"/>
  <c r="K189" i="29"/>
  <c r="H189" i="29"/>
  <c r="I189" i="29"/>
  <c r="K188" i="29"/>
  <c r="H188" i="29"/>
  <c r="I188" i="29"/>
  <c r="K187" i="29"/>
  <c r="H187" i="29"/>
  <c r="I187" i="29"/>
  <c r="K186" i="29"/>
  <c r="H186" i="29"/>
  <c r="I186" i="29"/>
  <c r="K185" i="29"/>
  <c r="I185" i="29"/>
  <c r="K184" i="29"/>
  <c r="H184" i="29"/>
  <c r="I184" i="29"/>
  <c r="K183" i="29"/>
  <c r="H183" i="29"/>
  <c r="I183" i="29"/>
  <c r="K182" i="29"/>
  <c r="H182" i="29"/>
  <c r="I182" i="29"/>
  <c r="K181" i="29"/>
  <c r="H181" i="29"/>
  <c r="I181" i="29"/>
  <c r="K180" i="29"/>
  <c r="I180" i="29"/>
  <c r="K179" i="29"/>
  <c r="H179" i="29"/>
  <c r="I179" i="29"/>
  <c r="K178" i="29"/>
  <c r="H178" i="29"/>
  <c r="I178" i="29"/>
  <c r="K177" i="29"/>
  <c r="H177" i="29"/>
  <c r="I177" i="29"/>
  <c r="K176" i="29"/>
  <c r="H176" i="29"/>
  <c r="I176" i="29"/>
  <c r="K175" i="29"/>
  <c r="H175" i="29"/>
  <c r="I175" i="29"/>
  <c r="K174" i="29"/>
  <c r="H174" i="29"/>
  <c r="I174" i="29"/>
  <c r="K173" i="29"/>
  <c r="I173" i="29"/>
  <c r="K172" i="29"/>
  <c r="I172" i="29"/>
  <c r="K171" i="29"/>
  <c r="I171" i="29"/>
  <c r="K170" i="29"/>
  <c r="H170" i="29"/>
  <c r="I170" i="29"/>
  <c r="K169" i="29"/>
  <c r="I169" i="29"/>
  <c r="K168" i="29"/>
  <c r="H168" i="29"/>
  <c r="I168" i="29"/>
  <c r="K167" i="29"/>
  <c r="H167" i="29"/>
  <c r="I167" i="29"/>
  <c r="K166" i="29"/>
  <c r="H166" i="29"/>
  <c r="I166" i="29"/>
  <c r="K165" i="29"/>
  <c r="H165" i="29"/>
  <c r="I165" i="29"/>
  <c r="K164" i="29"/>
  <c r="I164" i="29"/>
  <c r="K163" i="29"/>
  <c r="I163" i="29"/>
  <c r="K162" i="29"/>
  <c r="H162" i="29"/>
  <c r="I162" i="29"/>
  <c r="K161" i="29"/>
  <c r="H161" i="29"/>
  <c r="I161" i="29"/>
  <c r="K160" i="29"/>
  <c r="H160" i="29"/>
  <c r="I160" i="29"/>
  <c r="K159" i="29"/>
  <c r="H159" i="29"/>
  <c r="I159" i="29"/>
  <c r="K158" i="29"/>
  <c r="H158" i="29"/>
  <c r="I158" i="29"/>
  <c r="K157" i="29"/>
  <c r="H157" i="29"/>
  <c r="I157" i="29"/>
  <c r="K156" i="29"/>
  <c r="I156" i="29"/>
  <c r="K155" i="29"/>
  <c r="I155" i="29"/>
  <c r="K154" i="29"/>
  <c r="H154" i="29"/>
  <c r="I154" i="29"/>
  <c r="K153" i="29"/>
  <c r="I153" i="29"/>
  <c r="K152" i="29"/>
  <c r="H152" i="29"/>
  <c r="I152" i="29"/>
  <c r="K151" i="29"/>
  <c r="I151" i="29"/>
  <c r="K150" i="29"/>
  <c r="H150" i="29"/>
  <c r="I150" i="29"/>
  <c r="K149" i="29"/>
  <c r="H149" i="29"/>
  <c r="I149" i="29"/>
  <c r="K148" i="29"/>
  <c r="H148" i="29"/>
  <c r="I148" i="29"/>
  <c r="K147" i="29"/>
  <c r="H147" i="29"/>
  <c r="I147" i="29"/>
  <c r="K146" i="29"/>
  <c r="H146" i="29"/>
  <c r="I146" i="29"/>
  <c r="K145" i="29"/>
  <c r="H145" i="29"/>
  <c r="I145" i="29"/>
  <c r="K144" i="29"/>
  <c r="H144" i="29"/>
  <c r="I144" i="29"/>
  <c r="K143" i="29"/>
  <c r="H143" i="29"/>
  <c r="I143" i="29"/>
  <c r="K142" i="29"/>
  <c r="H142" i="29"/>
  <c r="I142" i="29"/>
  <c r="K141" i="29"/>
  <c r="H141" i="29"/>
  <c r="I141" i="29"/>
  <c r="K140" i="29"/>
  <c r="H140" i="29"/>
  <c r="I140" i="29"/>
  <c r="K139" i="29"/>
  <c r="H139" i="29"/>
  <c r="I139" i="29"/>
  <c r="K138" i="29"/>
  <c r="H138" i="29"/>
  <c r="I138" i="29"/>
  <c r="K137" i="29"/>
  <c r="H137" i="29"/>
  <c r="I137" i="29"/>
  <c r="K136" i="29"/>
  <c r="H136" i="29"/>
  <c r="I136" i="29"/>
  <c r="K135" i="29"/>
  <c r="H135" i="29"/>
  <c r="I135" i="29"/>
  <c r="K134" i="29"/>
  <c r="H134" i="29"/>
  <c r="I134" i="29"/>
  <c r="K133" i="29"/>
  <c r="H133" i="29"/>
  <c r="I133" i="29"/>
  <c r="K132" i="29"/>
  <c r="H132" i="29"/>
  <c r="I132" i="29"/>
  <c r="K131" i="29"/>
  <c r="H131" i="29"/>
  <c r="I131" i="29"/>
  <c r="K130" i="29"/>
  <c r="H130" i="29"/>
  <c r="I130" i="29"/>
  <c r="K129" i="29"/>
  <c r="H129" i="29"/>
  <c r="I129" i="29"/>
  <c r="K128" i="29"/>
  <c r="H128" i="29"/>
  <c r="I128" i="29"/>
  <c r="K127" i="29"/>
  <c r="H127" i="29"/>
  <c r="I127" i="29"/>
  <c r="K126" i="29"/>
  <c r="H126" i="29"/>
  <c r="I126" i="29"/>
  <c r="K125" i="29"/>
  <c r="H125" i="29"/>
  <c r="I125" i="29"/>
  <c r="K124" i="29"/>
  <c r="H124" i="29"/>
  <c r="I124" i="29"/>
  <c r="K123" i="29"/>
  <c r="I123" i="29"/>
  <c r="K122" i="29"/>
  <c r="I122" i="29"/>
  <c r="K121" i="29"/>
  <c r="H121" i="29"/>
  <c r="I121" i="29"/>
  <c r="K120" i="29"/>
  <c r="H120" i="29"/>
  <c r="I120" i="29"/>
  <c r="K119" i="29"/>
  <c r="H119" i="29"/>
  <c r="I119" i="29"/>
  <c r="K118" i="29"/>
  <c r="H118" i="29"/>
  <c r="I118" i="29"/>
  <c r="K117" i="29"/>
  <c r="H117" i="29"/>
  <c r="I117" i="29"/>
  <c r="K116" i="29"/>
  <c r="H116" i="29"/>
  <c r="I116" i="29"/>
  <c r="K115" i="29"/>
  <c r="H115" i="29"/>
  <c r="I115" i="29"/>
  <c r="K114" i="29"/>
  <c r="H114" i="29"/>
  <c r="I114" i="29"/>
  <c r="K113" i="29"/>
  <c r="I113" i="29"/>
  <c r="K112" i="29"/>
  <c r="I112" i="29"/>
  <c r="K111" i="29"/>
  <c r="I111" i="29"/>
  <c r="K110" i="29"/>
  <c r="H110" i="29"/>
  <c r="I110" i="29"/>
  <c r="K109" i="29"/>
  <c r="H109" i="29"/>
  <c r="I109" i="29"/>
  <c r="K108" i="29"/>
  <c r="I108" i="29"/>
  <c r="K107" i="29"/>
  <c r="I107" i="29"/>
  <c r="K106" i="29"/>
  <c r="I106" i="29"/>
  <c r="K105" i="29"/>
  <c r="I105" i="29"/>
  <c r="K104" i="29"/>
  <c r="I104" i="29"/>
  <c r="K103" i="29"/>
  <c r="I103" i="29"/>
  <c r="K102" i="29"/>
  <c r="I102" i="29"/>
  <c r="K101" i="29"/>
  <c r="H101" i="29"/>
  <c r="I101" i="29"/>
  <c r="K100" i="29"/>
  <c r="H100" i="29"/>
  <c r="I100" i="29"/>
  <c r="K99" i="29"/>
  <c r="H99" i="29"/>
  <c r="I99" i="29"/>
  <c r="K98" i="29"/>
  <c r="H98" i="29"/>
  <c r="I98" i="29"/>
  <c r="K97" i="29"/>
  <c r="H97" i="29"/>
  <c r="I97" i="29"/>
  <c r="K96" i="29"/>
  <c r="H96" i="29"/>
  <c r="I96" i="29"/>
  <c r="K95" i="29"/>
  <c r="H95" i="29"/>
  <c r="I95" i="29"/>
  <c r="K94" i="29"/>
  <c r="H94" i="29"/>
  <c r="I94" i="29"/>
  <c r="K93" i="29"/>
  <c r="H93" i="29"/>
  <c r="I93" i="29"/>
  <c r="K92" i="29"/>
  <c r="H92" i="29"/>
  <c r="I92" i="29"/>
  <c r="K91" i="29"/>
  <c r="H91" i="29"/>
  <c r="I91" i="29"/>
  <c r="K90" i="29"/>
  <c r="H90" i="29"/>
  <c r="I90" i="29"/>
  <c r="K89" i="29"/>
  <c r="H89" i="29"/>
  <c r="I89" i="29"/>
  <c r="K88" i="29"/>
  <c r="I88" i="29"/>
  <c r="K87" i="29"/>
  <c r="H87" i="29"/>
  <c r="I87" i="29"/>
  <c r="K86" i="29"/>
  <c r="H86" i="29"/>
  <c r="I86" i="29"/>
  <c r="K85" i="29"/>
  <c r="H85" i="29"/>
  <c r="I85" i="29"/>
  <c r="K84" i="29"/>
  <c r="H84" i="29"/>
  <c r="I84" i="29"/>
  <c r="K83" i="29"/>
  <c r="H83" i="29"/>
  <c r="I83" i="29"/>
  <c r="K82" i="29"/>
  <c r="H82" i="29"/>
  <c r="I82" i="29"/>
  <c r="K81" i="29"/>
  <c r="H81" i="29"/>
  <c r="I81" i="29"/>
  <c r="K80" i="29"/>
  <c r="H80" i="29"/>
  <c r="I80" i="29"/>
  <c r="K79" i="29"/>
  <c r="I79" i="29"/>
  <c r="K78" i="29"/>
  <c r="H78" i="29"/>
  <c r="I78" i="29"/>
  <c r="K77" i="29"/>
  <c r="H77" i="29"/>
  <c r="I77" i="29"/>
  <c r="K76" i="29"/>
  <c r="H76" i="29"/>
  <c r="I76" i="29"/>
  <c r="K75" i="29"/>
  <c r="H75" i="29"/>
  <c r="I75" i="29"/>
  <c r="K74" i="29"/>
  <c r="H74" i="29"/>
  <c r="I74" i="29"/>
  <c r="K73" i="29"/>
  <c r="H73" i="29"/>
  <c r="I73" i="29"/>
  <c r="K72" i="29"/>
  <c r="H72" i="29"/>
  <c r="I72" i="29"/>
  <c r="K71" i="29"/>
  <c r="H71" i="29"/>
  <c r="I71" i="29"/>
  <c r="K70" i="29"/>
  <c r="H70" i="29"/>
  <c r="I70" i="29"/>
  <c r="K69" i="29"/>
  <c r="H69" i="29"/>
  <c r="I69" i="29"/>
  <c r="K68" i="29"/>
  <c r="H68" i="29"/>
  <c r="I68" i="29"/>
  <c r="K67" i="29"/>
  <c r="I67" i="29"/>
  <c r="K66" i="29"/>
  <c r="I66" i="29"/>
  <c r="K65" i="29"/>
  <c r="H65" i="29"/>
  <c r="I65" i="29"/>
  <c r="K64" i="29"/>
  <c r="H64" i="29"/>
  <c r="I64" i="29"/>
  <c r="K63" i="29"/>
  <c r="I63" i="29"/>
  <c r="K62" i="29"/>
  <c r="I62" i="29"/>
  <c r="K61" i="29"/>
  <c r="H61" i="29"/>
  <c r="I61" i="29"/>
  <c r="K60" i="29"/>
  <c r="I60" i="29"/>
  <c r="K59" i="29"/>
  <c r="H59" i="29"/>
  <c r="I59" i="29"/>
  <c r="K58" i="29"/>
  <c r="I58" i="29"/>
  <c r="K57" i="29"/>
  <c r="H57" i="29"/>
  <c r="I57" i="29"/>
  <c r="K56" i="29"/>
  <c r="I56" i="29"/>
  <c r="K55" i="29"/>
  <c r="I55" i="29"/>
  <c r="K54" i="29"/>
  <c r="I54" i="29"/>
  <c r="K53" i="29"/>
  <c r="I53" i="29"/>
  <c r="K52" i="29"/>
  <c r="I52" i="29"/>
  <c r="K51" i="29"/>
  <c r="I51" i="29"/>
  <c r="K50" i="29"/>
  <c r="I50" i="29"/>
  <c r="K49" i="29"/>
  <c r="H49" i="29"/>
  <c r="I49" i="29"/>
  <c r="K48" i="29"/>
  <c r="H48" i="29"/>
  <c r="I48" i="29"/>
  <c r="K47" i="29"/>
  <c r="H47" i="29"/>
  <c r="I47" i="29"/>
  <c r="K46" i="29"/>
  <c r="I46" i="29"/>
  <c r="K45" i="29"/>
  <c r="I45" i="29"/>
  <c r="K44" i="29"/>
  <c r="I44" i="29"/>
  <c r="K43" i="29"/>
  <c r="H43" i="29"/>
  <c r="I43" i="29"/>
  <c r="K42" i="29"/>
  <c r="I42" i="29"/>
  <c r="K41" i="29"/>
  <c r="I41" i="29"/>
  <c r="K40" i="29"/>
  <c r="H40" i="29"/>
  <c r="I40" i="29"/>
  <c r="K39" i="29"/>
  <c r="I39" i="29"/>
  <c r="K38" i="29"/>
  <c r="I38" i="29"/>
  <c r="K37" i="29"/>
  <c r="I37" i="29"/>
  <c r="K36" i="29"/>
  <c r="H36" i="29"/>
  <c r="I36" i="29"/>
  <c r="K35" i="29"/>
  <c r="H35" i="29"/>
  <c r="I35" i="29"/>
  <c r="K34" i="29"/>
  <c r="I34" i="29"/>
  <c r="K33" i="29"/>
  <c r="H33" i="29"/>
  <c r="I33" i="29"/>
  <c r="K32" i="29"/>
  <c r="H32" i="29"/>
  <c r="I32" i="29"/>
  <c r="K31" i="29"/>
  <c r="H31" i="29"/>
  <c r="I31" i="29"/>
  <c r="K30" i="29"/>
  <c r="H30" i="29"/>
  <c r="I30" i="29"/>
  <c r="K29" i="29"/>
  <c r="H29" i="29"/>
  <c r="I29" i="29"/>
  <c r="K28" i="29"/>
  <c r="H28" i="29"/>
  <c r="I28" i="29"/>
  <c r="K27" i="29"/>
  <c r="H27" i="29"/>
  <c r="I27" i="29"/>
  <c r="K26" i="29"/>
  <c r="H26" i="29"/>
  <c r="I26" i="29"/>
  <c r="K25" i="29"/>
  <c r="I25" i="29"/>
  <c r="K24" i="29"/>
  <c r="H24" i="29"/>
  <c r="I24" i="29"/>
  <c r="K23" i="29"/>
  <c r="H23" i="29"/>
  <c r="I23" i="29"/>
  <c r="K22" i="29"/>
  <c r="H22" i="29"/>
  <c r="I22" i="29"/>
  <c r="K21" i="29"/>
  <c r="H21" i="29"/>
  <c r="I21" i="29"/>
  <c r="K20" i="29"/>
  <c r="I20" i="29"/>
  <c r="K19" i="29"/>
  <c r="H19" i="29"/>
  <c r="I19" i="29"/>
  <c r="K18" i="29"/>
  <c r="H18" i="29"/>
  <c r="I18" i="29"/>
  <c r="K17" i="29"/>
  <c r="H17" i="29"/>
  <c r="I17" i="29"/>
  <c r="K16" i="29"/>
  <c r="H16" i="29"/>
  <c r="I16" i="29"/>
  <c r="K15" i="29"/>
  <c r="H15" i="29"/>
  <c r="I15" i="29"/>
  <c r="K14" i="29"/>
  <c r="H14" i="29"/>
  <c r="I14" i="29"/>
  <c r="K13" i="29"/>
  <c r="H13" i="29"/>
  <c r="I13" i="29"/>
  <c r="K12" i="29"/>
  <c r="H12" i="29"/>
  <c r="I12" i="29"/>
  <c r="K11" i="29"/>
  <c r="H11" i="29"/>
  <c r="I11" i="29"/>
  <c r="K10" i="29"/>
  <c r="H10" i="29"/>
  <c r="I10" i="29"/>
  <c r="K9" i="29"/>
  <c r="H9" i="29"/>
  <c r="I9" i="29"/>
  <c r="K8" i="29"/>
  <c r="H8" i="29"/>
  <c r="I8" i="29"/>
  <c r="K7" i="29"/>
  <c r="H7" i="29"/>
  <c r="I7" i="29"/>
  <c r="K6" i="29"/>
  <c r="H6" i="29"/>
  <c r="I6" i="29"/>
  <c r="K5" i="29"/>
  <c r="H5" i="29"/>
  <c r="I5" i="29"/>
  <c r="K4" i="29"/>
  <c r="H4" i="29"/>
  <c r="I4" i="29"/>
  <c r="K3" i="29"/>
  <c r="H3" i="29"/>
  <c r="I3" i="29"/>
  <c r="N99" i="29"/>
  <c r="N98" i="29"/>
  <c r="N90" i="29"/>
  <c r="N82" i="29"/>
  <c r="N74" i="29"/>
  <c r="N66" i="29"/>
  <c r="N58" i="29"/>
  <c r="N50" i="29"/>
  <c r="N42" i="29"/>
  <c r="N34" i="29"/>
  <c r="N26" i="29"/>
  <c r="N18" i="29"/>
  <c r="N10" i="29"/>
  <c r="N89" i="29"/>
  <c r="N81" i="29"/>
  <c r="N73" i="29"/>
  <c r="N65" i="29"/>
  <c r="N57" i="29"/>
  <c r="N49" i="29"/>
  <c r="N41" i="29"/>
  <c r="N33" i="29"/>
  <c r="N25" i="29"/>
  <c r="N17" i="29"/>
  <c r="N9" i="29"/>
  <c r="N88" i="29"/>
  <c r="N80" i="29"/>
  <c r="N72" i="29"/>
  <c r="N64" i="29"/>
  <c r="N56" i="29"/>
  <c r="N48" i="29"/>
  <c r="N40" i="29"/>
  <c r="N32" i="29"/>
  <c r="N24" i="29"/>
  <c r="N16" i="29"/>
  <c r="N8" i="29"/>
  <c r="N97" i="29"/>
  <c r="N96" i="29"/>
  <c r="N95" i="29"/>
  <c r="N87" i="29"/>
  <c r="N79" i="29"/>
  <c r="N71" i="29"/>
  <c r="N63" i="29"/>
  <c r="N55" i="29"/>
  <c r="N47" i="29"/>
  <c r="N39" i="29"/>
  <c r="N31" i="29"/>
  <c r="N23" i="29"/>
  <c r="N15" i="29"/>
  <c r="N7" i="29"/>
  <c r="N94" i="29"/>
  <c r="N86" i="29"/>
  <c r="N78" i="29"/>
  <c r="N70" i="29"/>
  <c r="N62" i="29"/>
  <c r="N54" i="29"/>
  <c r="N46" i="29"/>
  <c r="N38" i="29"/>
  <c r="N30" i="29"/>
  <c r="N22" i="29"/>
  <c r="N14" i="29"/>
  <c r="N6" i="29"/>
  <c r="N85" i="29"/>
  <c r="N77" i="29"/>
  <c r="N69" i="29"/>
  <c r="N61" i="29"/>
  <c r="N53" i="29"/>
  <c r="N45" i="29"/>
  <c r="N37" i="29"/>
  <c r="N29" i="29"/>
  <c r="N21" i="29"/>
  <c r="N13" i="29"/>
  <c r="N5" i="29"/>
  <c r="N11" i="29"/>
  <c r="N3" i="29"/>
  <c r="N93" i="29"/>
  <c r="N92" i="29"/>
  <c r="N84" i="29"/>
  <c r="N76" i="29"/>
  <c r="N68" i="29"/>
  <c r="N60" i="29"/>
  <c r="N52" i="29"/>
  <c r="N44" i="29"/>
  <c r="N36" i="29"/>
  <c r="N28" i="29"/>
  <c r="N20" i="29"/>
  <c r="N12" i="29"/>
  <c r="N4" i="29"/>
  <c r="N91" i="29"/>
  <c r="N83" i="29"/>
  <c r="N75" i="29"/>
  <c r="N67" i="29"/>
  <c r="N59" i="29"/>
  <c r="N51" i="29"/>
  <c r="N43" i="29"/>
  <c r="N35" i="29"/>
  <c r="N27" i="29"/>
  <c r="N1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7" authorId="0" shapeId="0" xr:uid="{66F5C57F-9147-4A4D-9911-8BF6F2CD61A0}">
      <text>
        <r>
          <rPr>
            <sz val="9"/>
            <color indexed="81"/>
            <rFont val="Tahoma"/>
            <family val="2"/>
          </rPr>
          <t>Write lock: "factory_eeprom_lock_wr"_x000D_
Read lock: "factory_eeprom_lock_rd"</t>
        </r>
      </text>
    </comment>
    <comment ref="F7" authorId="0" shapeId="0" xr:uid="{AACC4544-B8C9-41D9-9A54-305C021A7A65}">
      <text>
        <r>
          <rPr>
            <sz val="9"/>
            <color indexed="81"/>
            <rFont val="Tahoma"/>
            <family val="2"/>
          </rPr>
          <t xml:space="preserve">Field Name: ecc_0_x000D_
Access Mode:RW_x000D_
Description:Error correction code. </t>
        </r>
      </text>
    </comment>
    <comment ref="L7" authorId="0" shapeId="0" xr:uid="{5750A801-61CF-4242-B35F-34808EFBEC71}">
      <text>
        <r>
          <rPr>
            <sz val="9"/>
            <color indexed="81"/>
            <rFont val="Tahoma"/>
            <family val="2"/>
          </rPr>
          <t xml:space="preserve">Field Name: itest_x000D_
Access Mode:RW_x000D_
Description:Binary count of test insertions (including retests). </t>
        </r>
      </text>
    </comment>
    <comment ref="P7" authorId="0" shapeId="0" xr:uid="{BDD00FD7-72EA-43FC-A83D-ABE7A4B07995}">
      <text>
        <r>
          <rPr>
            <sz val="9"/>
            <color indexed="81"/>
            <rFont val="Tahoma"/>
            <family val="2"/>
          </rPr>
          <t xml:space="preserve">Field Name: y_die_loc_x000D_
Access Mode:RW_x000D_
Description:8 bits Y die location (accommodates up to 256 dies in Y). </t>
        </r>
      </text>
    </comment>
    <comment ref="X7" authorId="0" shapeId="0" xr:uid="{0D4DC292-A3A1-449B-9F41-60B77313CAFF}">
      <text>
        <r>
          <rPr>
            <sz val="9"/>
            <color indexed="81"/>
            <rFont val="Tahoma"/>
            <family val="2"/>
          </rPr>
          <t xml:space="preserve">Field Name: x_die_loc_x000D_
Access Mode:RW_x000D_
Description:8 bits X die location (accommodates up to 256 dies in X). </t>
        </r>
      </text>
    </comment>
    <comment ref="AF7" authorId="0" shapeId="0" xr:uid="{2ABE7E56-1FDD-40E8-B945-0D4DD8A13C61}">
      <text>
        <r>
          <rPr>
            <sz val="9"/>
            <color indexed="81"/>
            <rFont val="Tahoma"/>
            <family val="2"/>
          </rPr>
          <t xml:space="preserve">Field Name: eeprom_rev_x000D_
Access Mode:RW_x000D_
Description:EEPROM revision. </t>
        </r>
      </text>
    </comment>
    <comment ref="D8" authorId="0" shapeId="0" xr:uid="{DBAA3D95-0C5F-4158-B40D-9A4EEFBDFB21}">
      <text>
        <r>
          <rPr>
            <sz val="9"/>
            <color indexed="81"/>
            <rFont val="Tahoma"/>
            <family val="2"/>
          </rPr>
          <t>Write lock: "factory_eeprom_lock_wr"_x000D_
Read lock: "factory_eeprom_lock_rd"</t>
        </r>
      </text>
    </comment>
    <comment ref="F8" authorId="0" shapeId="0" xr:uid="{3E09D0FD-58E8-4AA0-A7B1-57C3A7580F9A}">
      <text>
        <r>
          <rPr>
            <sz val="9"/>
            <color indexed="81"/>
            <rFont val="Tahoma"/>
            <family val="2"/>
          </rPr>
          <t xml:space="preserve">Field Name: ecc_1_x000D_
Access Mode:RW_x000D_
Description:Error correction code. </t>
        </r>
      </text>
    </comment>
    <comment ref="L8" authorId="0" shapeId="0" xr:uid="{4762F9D2-6478-4287-86EF-71BD3711D24D}">
      <text>
        <r>
          <rPr>
            <sz val="9"/>
            <color indexed="81"/>
            <rFont val="Tahoma"/>
            <family val="2"/>
          </rPr>
          <t xml:space="preserve">Field Name: ptest_x000D_
Access Mode:RW_x000D_
Description:Binary last operation identifier (Post Bake 1-3, FT R/H, FT R/C, etc). </t>
        </r>
      </text>
    </comment>
    <comment ref="P8" authorId="0" shapeId="0" xr:uid="{DAED9E0C-710C-4496-A823-FB59AF436AF2}">
      <text>
        <r>
          <rPr>
            <sz val="9"/>
            <color indexed="81"/>
            <rFont val="Tahoma"/>
            <family val="2"/>
          </rPr>
          <t xml:space="preserve">Field Name: factory_lot_x000D_
Access Mode:RW_x000D_
Description:Factory Probe Lot (uses 3rd - 7th digits of the lot number). </t>
        </r>
      </text>
    </comment>
    <comment ref="AF8" authorId="0" shapeId="0" xr:uid="{C8F923A5-2D1A-4AE8-8091-03F6A6AA7F78}">
      <text>
        <r>
          <rPr>
            <sz val="9"/>
            <color indexed="81"/>
            <rFont val="Tahoma"/>
            <family val="2"/>
          </rPr>
          <t xml:space="preserve">Field Name: factory_wafer_x000D_
Access Mode:RW_x000D_
Description:Factory Wafer Number (stores up to 64 wafers). </t>
        </r>
      </text>
    </comment>
    <comment ref="D9" authorId="0" shapeId="0" xr:uid="{C2CF5CDD-B65C-4510-A167-4C6FA55B792C}">
      <text>
        <r>
          <rPr>
            <sz val="9"/>
            <color indexed="81"/>
            <rFont val="Tahoma"/>
            <family val="2"/>
          </rPr>
          <t>Write lock: "factory_eeprom_lock_wr"_x000D_
Read lock: "factory_eeprom_lock_rd"</t>
        </r>
      </text>
    </comment>
    <comment ref="F9" authorId="0" shapeId="0" xr:uid="{111464A3-2744-4C54-9399-B1C868999BA5}">
      <text>
        <r>
          <rPr>
            <sz val="9"/>
            <color indexed="81"/>
            <rFont val="Tahoma"/>
            <family val="2"/>
          </rPr>
          <t xml:space="preserve">Field Name: ecc_2_x000D_
Access Mode:RW_x000D_
Description:Error correction code. </t>
        </r>
      </text>
    </comment>
    <comment ref="L9" authorId="0" shapeId="0" xr:uid="{AC28739E-A268-4A59-82BE-66F36337DFC0}">
      <text>
        <r>
          <rPr>
            <sz val="9"/>
            <color indexed="81"/>
            <rFont val="Tahoma"/>
            <family val="2"/>
          </rPr>
          <t xml:space="preserve">Field Name: cas_id_x000D_
Access Mode:RW_x000D_
Description:CAS/ID for Customer code. </t>
        </r>
      </text>
    </comment>
    <comment ref="AB9" authorId="0" shapeId="0" xr:uid="{7448AFBA-7D5C-498C-BD5B-1803FD2C1E3F}">
      <text>
        <r>
          <rPr>
            <sz val="9"/>
            <color indexed="81"/>
            <rFont val="Tahoma"/>
            <family val="2"/>
          </rPr>
          <t xml:space="preserve">Field Name: eeprom_post_bake_p_f_x000D_
Access Mode:RW_x000D_
Description:EEPROM post-bake P/F (P=111,F=000), allows clean post-bake multi pass. </t>
        </r>
      </text>
    </comment>
    <comment ref="AE9" authorId="0" shapeId="0" xr:uid="{A5EF0C41-8EA4-46EA-85D3-1F2925DF2360}">
      <text>
        <r>
          <rPr>
            <sz val="9"/>
            <color indexed="81"/>
            <rFont val="Tahoma"/>
            <family val="2"/>
          </rPr>
          <t xml:space="preserve">Field Name: ee_spare_0_dpe_x000D_
Access Mode:RW_x000D_
Description:Spare bits for DPE and/or future use. </t>
        </r>
      </text>
    </comment>
    <comment ref="D10" authorId="0" shapeId="0" xr:uid="{1CEC05B5-1ABB-45B2-99F1-AD751FC7E601}">
      <text>
        <r>
          <rPr>
            <sz val="9"/>
            <color indexed="81"/>
            <rFont val="Tahoma"/>
            <family val="2"/>
          </rPr>
          <t>Write lock: "factory_eeprom_lock_wr"_x000D_
Read lock: "factory_eeprom_lock_rd"</t>
        </r>
      </text>
    </comment>
    <comment ref="F10" authorId="0" shapeId="0" xr:uid="{E8BFA235-9260-4A4C-80F2-EE0C5EE51987}">
      <text>
        <r>
          <rPr>
            <sz val="9"/>
            <color indexed="81"/>
            <rFont val="Tahoma"/>
            <family val="2"/>
          </rPr>
          <t xml:space="preserve">Field Name: ecc_3_x000D_
Access Mode:RW_x000D_
Description:Error Code Correction </t>
        </r>
      </text>
    </comment>
    <comment ref="L10" authorId="0" shapeId="0" xr:uid="{615D734A-F93B-4839-9C00-47C3C76372C1}">
      <text>
        <r>
          <rPr>
            <sz val="9"/>
            <color indexed="81"/>
            <rFont val="Tahoma"/>
            <family val="2"/>
          </rPr>
          <t xml:space="preserve">Field Name: reserved3_x000D_
Access Mode:RW_x000D_
Description:Reserved register </t>
        </r>
      </text>
    </comment>
    <comment ref="D11" authorId="0" shapeId="0" xr:uid="{E5A594A1-4EF2-4DD0-9A49-DB363FEBC185}">
      <text>
        <r>
          <rPr>
            <sz val="9"/>
            <color indexed="81"/>
            <rFont val="Tahoma"/>
            <family val="2"/>
          </rPr>
          <t>Write lock: "factory_eeprom_lock_wr"_x000D_
Read lock: "customer_eeprom_lock_rd"</t>
        </r>
      </text>
    </comment>
    <comment ref="F11" authorId="0" shapeId="0" xr:uid="{1C327C36-E8DF-4E16-A16D-20480DC05403}">
      <text>
        <r>
          <rPr>
            <sz val="9"/>
            <color indexed="81"/>
            <rFont val="Tahoma"/>
            <family val="2"/>
          </rPr>
          <t xml:space="preserve">Field Name: ecc_4_x000D_
Access Mode:RW_x000D_
Description:Error correction code. </t>
        </r>
      </text>
    </comment>
    <comment ref="T11" authorId="0" shapeId="0" xr:uid="{756802D4-748D-41BA-B0C0-1EBB4102D978}">
      <text>
        <r>
          <rPr>
            <sz val="9"/>
            <color indexed="81"/>
            <rFont val="Tahoma"/>
            <family val="2"/>
          </rPr>
          <t xml:space="preserve">Field Name: sup_det_test_e_x000D_
Access Mode:RW_x000D_
Description:Enter supply detect mode.  Drive output to a fixed state based on VCC. </t>
        </r>
      </text>
    </comment>
    <comment ref="U11" authorId="0" shapeId="0" xr:uid="{9E93F958-E101-4E3F-B877-06D594837A2E}">
      <text>
        <r>
          <rPr>
            <sz val="9"/>
            <color indexed="81"/>
            <rFont val="Tahoma"/>
            <family val="2"/>
          </rPr>
          <t xml:space="preserve">Field Name: d_sup_uv_sel_x000D_
Access Mode:RW_x000D_
Description:UV threshold trimming._x000D_
'00': Threshold is set to 4.2 V._x000D_
'01': Threshold is set to 4.1 V._x000D_
'10': Threshold is set to 4.3 V._x000D_
'11': Threshold is set to 4.4 V. </t>
        </r>
      </text>
    </comment>
    <comment ref="W11" authorId="0" shapeId="0" xr:uid="{095DCF56-21E9-4997-9212-A742DFF170A0}">
      <text>
        <r>
          <rPr>
            <sz val="9"/>
            <color indexed="81"/>
            <rFont val="Tahoma"/>
            <family val="2"/>
          </rPr>
          <t xml:space="preserve">Field Name: d_sup_ov_sel_x000D_
Access Mode:RW_x000D_
Description:OV threshold trimming._x000D_
'00': Threshold is set to 7 V._x000D_
'01': Threshold is set to 6.5 V._x000D_
'10': Threshold is set to 7.5 V._x000D_
'11': Threshold is set to 8 V. </t>
        </r>
      </text>
    </comment>
    <comment ref="Y11" authorId="0" shapeId="0" xr:uid="{FB725147-4CCB-42C1-B01C-5F096440C193}">
      <text>
        <r>
          <rPr>
            <sz val="9"/>
            <color indexed="81"/>
            <rFont val="Tahoma"/>
            <family val="2"/>
          </rPr>
          <t xml:space="preserve">Field Name: d_sup_hv_sel_x000D_
Access Mode:RW_x000D_
Description:HV threshold trimming._x000D_
'00': Threshold is set to 16 V._x000D_
'01': Threshold is set to 15 V._x000D_
'10': Threshold is set to 14 V._x000D_
'11': Threshold is set to 13 V. </t>
        </r>
      </text>
    </comment>
    <comment ref="AA11" authorId="0" shapeId="0" xr:uid="{8D7F046D-FECB-45E6-BEA5-2B8F321BE359}">
      <text>
        <r>
          <rPr>
            <sz val="9"/>
            <color indexed="81"/>
            <rFont val="Tahoma"/>
            <family val="2"/>
          </rPr>
          <t xml:space="preserve">Field Name: d_sup_por_sel_x000D_
Access Mode:RW_x000D_
Description:POR threshold trimming._x000D_
'00': Threshold is set to 3.7 V._x000D_
'01': Threshold is set to 3.6 V._x000D_
'10': Threshold is set to 3.8 V._x000D_
'11': Threshold is set to 3.9 V. </t>
        </r>
      </text>
    </comment>
    <comment ref="AC11" authorId="0" shapeId="0" xr:uid="{016A768C-0FDB-4756-A3C5-A61EB1C7D1DE}">
      <text>
        <r>
          <rPr>
            <sz val="9"/>
            <color indexed="81"/>
            <rFont val="Tahoma"/>
            <family val="2"/>
          </rPr>
          <t xml:space="preserve">Field Name: d_osc_half_x000D_
Access Mode:RW_x000D_
Description:When '1', the oscillator internally runs at half frequency but its output is always 16MHz nominal. </t>
        </r>
      </text>
    </comment>
    <comment ref="AD11" authorId="0" shapeId="0" xr:uid="{A0B33DAD-3975-4CA6-9859-FB0217B6E751}">
      <text>
        <r>
          <rPr>
            <sz val="9"/>
            <color indexed="81"/>
            <rFont val="Tahoma"/>
            <family val="2"/>
          </rPr>
          <t xml:space="preserve">Field Name: d_osc_trim_x000D_
Access Mode:RW_x000D_
Description:Oscillator trimming during POR data._x000D_
'0000': Nominal freq is set to mean val = 32 MHz._x000D_
'0111': Nominal freq is set to max val = 38.7 MHz_x000D_
'1111': Nominal freq is set to min val = 23.3 MHz._x000D_
LSB step = 1MHz. </t>
        </r>
      </text>
    </comment>
    <comment ref="AH11" authorId="0" shapeId="0" xr:uid="{58BAC589-DDF0-40C6-92D1-991BD7569233}">
      <text>
        <r>
          <rPr>
            <sz val="9"/>
            <color indexed="81"/>
            <rFont val="Tahoma"/>
            <family val="2"/>
          </rPr>
          <t xml:space="preserve">Field Name: d_ibias_trim_x000D_
Access Mode:RW_x000D_
Description:Bias current trimming during POR data._x000D_
'0000': Nominal current is  set to mean val = 5uA._x000D_
'1111': Nominal current is  set to min val = 6.6uA._x000D_
'0111': Nominal current is set to max val = 3.18uA._x000D_
LSB step = 228nA. </t>
        </r>
      </text>
    </comment>
    <comment ref="D12" authorId="0" shapeId="0" xr:uid="{453D642B-A66D-462D-9900-089FCE24AB15}">
      <text>
        <r>
          <rPr>
            <sz val="9"/>
            <color indexed="81"/>
            <rFont val="Tahoma"/>
            <family val="2"/>
          </rPr>
          <t>Write lock: "factory_eeprom_lock_wr"_x000D_
Read lock: "customer_eeprom_lock_rd"</t>
        </r>
      </text>
    </comment>
    <comment ref="F12" authorId="0" shapeId="0" xr:uid="{9655F35E-D82D-4DE7-B3AC-B7802D5FD9AC}">
      <text>
        <r>
          <rPr>
            <sz val="9"/>
            <color indexed="81"/>
            <rFont val="Tahoma"/>
            <family val="2"/>
          </rPr>
          <t xml:space="preserve">Field Name: ecc_5_x000D_
Access Mode:RW_x000D_
Description:Error correction code. </t>
        </r>
      </text>
    </comment>
    <comment ref="U12" authorId="0" shapeId="0" xr:uid="{71E67273-D580-460B-810F-DC517D54C71D}">
      <text>
        <r>
          <rPr>
            <sz val="9"/>
            <color indexed="81"/>
            <rFont val="Tahoma"/>
            <family val="2"/>
          </rPr>
          <t xml:space="preserve">Field Name: status_1_msk_x000D_
Access Mode:RW_x000D_
Description:Status 1 register mask. When '1', the associated error is disabled._x000D_
[16]: Mask for sl_v1_m_v2_oor_hi andsl_v1_m_v2_oor_lo._x000D_
[15]: Mask for sl_v1_div_v2_oor_hi and sl_v1_div_v2_oor_lo._x000D_
[14]: Mask for sl_kalman_p_oor_hi and sl_kalman_p_oor_lo._x000D_
[13]: Mask for sl_rrl_int1_oor_hi and sl_rrl_int1_oor_lo._x000D_
[12]: Mask for sl_rrl_int2_oor_hi and sl_rrl_int2_oor_lo._x000D_
[11]: Mask for sl_bwsel_oor_hi and sl_bwsel_oor_lo._x000D_
[10]: Mask for sl_div_by_zero._x000D_
[9]: Mask for sl_rrl_cic21_oor_hi and sl_rrl_cic21_oor_hi._x000D_
[8]: Mask for sl_rrl_cic22_oor_hi and sl_rrl_cic22_oor_lo._x000D_
[7]: Mask for sl_p_oor_hi._x000D_
[6]: Mask for sl_p_sec_oor_hi._x000D_
[5]: Mask for sl_linearization_oor_hi and sl_linearization_oor_lo._x000D_
[4]: Mask for sl_clmp_oor_hi and sl_clmp_oor_lo._x000D_
[3]: Mask for sl_rrl_cic11_oor_hi and sl_rrl_cic11_oor_lo._x000D_
[2]: Mask for sl_rrl_cic12_oor_hi and sl_rrl_cic12_oor_lo._x000D_
[1]: Mask for sl_cic41_sign_error and sl_cic42_sign_error._x000D_
[0]: Mask for sl_v1_m_v2_sign_error. </t>
        </r>
      </text>
    </comment>
    <comment ref="D13" authorId="0" shapeId="0" xr:uid="{C824034B-68CB-4D32-A50F-1C01B95B831F}">
      <text>
        <r>
          <rPr>
            <sz val="9"/>
            <color indexed="81"/>
            <rFont val="Tahoma"/>
            <family val="2"/>
          </rPr>
          <t>Write lock: "factory_eeprom_lock_wr"_x000D_
Read lock: "customer_eeprom_lock_rd"</t>
        </r>
      </text>
    </comment>
    <comment ref="F13" authorId="0" shapeId="0" xr:uid="{2F751F6C-EA16-43D6-8BBD-68A25E05F3D0}">
      <text>
        <r>
          <rPr>
            <sz val="9"/>
            <color indexed="81"/>
            <rFont val="Tahoma"/>
            <family val="2"/>
          </rPr>
          <t xml:space="preserve">Field Name: ecc_6_x000D_
Access Mode:RW_x000D_
Description:Error correction code. </t>
        </r>
      </text>
    </comment>
    <comment ref="D14" authorId="0" shapeId="0" xr:uid="{71A77848-9AFE-49F1-82EE-4C4F151CDFDC}">
      <text>
        <r>
          <rPr>
            <sz val="9"/>
            <color indexed="81"/>
            <rFont val="Tahoma"/>
            <family val="2"/>
          </rPr>
          <t>Write lock: "factory_eeprom_lock_wr"_x000D_
Read lock: "customer_eeprom_lock_rd"</t>
        </r>
      </text>
    </comment>
    <comment ref="F14" authorId="0" shapeId="0" xr:uid="{E5AF456B-E43C-4571-86EF-73CA3C59AE8D}">
      <text>
        <r>
          <rPr>
            <sz val="9"/>
            <color indexed="81"/>
            <rFont val="Tahoma"/>
            <family val="2"/>
          </rPr>
          <t xml:space="preserve">Field Name: ecc_7_x000D_
Access Mode:RW_x000D_
Description:Error correction code. </t>
        </r>
      </text>
    </comment>
    <comment ref="M14" authorId="0" shapeId="0" xr:uid="{6AF49231-DE2D-41D6-B2E1-2089B3474BD9}">
      <text>
        <r>
          <rPr>
            <sz val="9"/>
            <color indexed="81"/>
            <rFont val="Tahoma"/>
            <family val="2"/>
          </rPr>
          <t xml:space="preserve">Field Name: d_iscoil_trim_x000D_
Access Mode:RW_x000D_
Description:Secondary coil current trimming._x000D_
'00': Nominal value (200uA)._x000D_
'01': +40%_x000D_
'10': -50%_x000D_
'11': -10% </t>
        </r>
      </text>
    </comment>
    <comment ref="O14" authorId="0" shapeId="0" xr:uid="{0036F025-6B8F-4859-9F69-E242DCDB5F58}">
      <text>
        <r>
          <rPr>
            <sz val="9"/>
            <color indexed="81"/>
            <rFont val="Tahoma"/>
            <family val="2"/>
          </rPr>
          <t xml:space="preserve">Field Name: d_mcoil_dly_x000D_
Access Mode:RW_x000D_
Description:Main coil clock delay. </t>
        </r>
      </text>
    </comment>
    <comment ref="S14" authorId="0" shapeId="0" xr:uid="{929BB657-0A59-4591-81C5-AC57D95B900D}">
      <text>
        <r>
          <rPr>
            <sz val="9"/>
            <color indexed="81"/>
            <rFont val="Tahoma"/>
            <family val="2"/>
          </rPr>
          <t xml:space="preserve">Field Name: d_sum_channels_x000D_
Access Mode:RW_x000D_
Description:When '1', channels are added/subtracted in the analog domain instead of the digital one. </t>
        </r>
      </text>
    </comment>
    <comment ref="T14" authorId="0" shapeId="0" xr:uid="{8C2E926A-9B58-4547-9695-487819DCC193}">
      <text>
        <r>
          <rPr>
            <sz val="9"/>
            <color indexed="81"/>
            <rFont val="Tahoma"/>
            <family val="2"/>
          </rPr>
          <t xml:space="preserve">Field Name: d_offset_coarse_e_x000D_
Access Mode:RW_x000D_
Description:When '1', the coarse offset DAC is enabled. </t>
        </r>
      </text>
    </comment>
    <comment ref="U14" authorId="0" shapeId="0" xr:uid="{B7AC119B-9F66-4A56-8E14-CB2EFBB31F48}">
      <text>
        <r>
          <rPr>
            <sz val="9"/>
            <color indexed="81"/>
            <rFont val="Tahoma"/>
            <family val="2"/>
          </rPr>
          <t xml:space="preserve">Field Name: d_offset_coarse_pol_x000D_
Access Mode:RW_x000D_
Description:'0' is negative offset, '1' is positive offset. </t>
        </r>
      </text>
    </comment>
    <comment ref="V14" authorId="0" shapeId="0" xr:uid="{46EFC85D-21A0-458C-9B6C-860505B1A450}">
      <text>
        <r>
          <rPr>
            <sz val="9"/>
            <color indexed="81"/>
            <rFont val="Tahoma"/>
            <family val="2"/>
          </rPr>
          <t xml:space="preserve">Field Name: d_offset_coarse_x000D_
Access Mode:RW_x000D_
Description:Coarse adjust of differential offset for each channel for unidirectional mode-like operation._x000D_
'000': Voffset magnitud is set to min val = 250mV._x000D_
'111': Voffset magnitud is set to max val = 2V._x000D_
LSB step = 250mV. </t>
        </r>
      </text>
    </comment>
    <comment ref="Y14" authorId="0" shapeId="0" xr:uid="{AE81B5DF-E5D2-42D7-945C-C3768F62D3DE}">
      <text>
        <r>
          <rPr>
            <sz val="9"/>
            <color indexed="81"/>
            <rFont val="Tahoma"/>
            <family val="2"/>
          </rPr>
          <t xml:space="preserve">Field Name: d_rrl_e_x000D_
Access Mode:RW_x000D_
Description:When '1', RRLs are enabled for both channels. </t>
        </r>
      </text>
    </comment>
    <comment ref="Z14" authorId="0" shapeId="0" xr:uid="{E310D4B7-8373-4D50-AE84-E074BF1CF489}">
      <text>
        <r>
          <rPr>
            <sz val="9"/>
            <color indexed="81"/>
            <rFont val="Tahoma"/>
            <family val="2"/>
          </rPr>
          <t xml:space="preserve">Field Name: d_sdm_clk_half_x000D_
Access Mode:RW_x000D_
Description:Bit to set CTSDM at 8MHz instead of 16MHz (default). Analog uses it as an input to adapt the RCs in the modulator. Digital changes the SDM to 8MHz. </t>
        </r>
      </text>
    </comment>
    <comment ref="AA14" authorId="0" shapeId="0" xr:uid="{E5AD2B27-AE50-4CB5-B1F5-562A02CAE7DB}">
      <text>
        <r>
          <rPr>
            <sz val="9"/>
            <color indexed="81"/>
            <rFont val="Tahoma"/>
            <family val="2"/>
          </rPr>
          <t xml:space="preserve">Field Name: d_vcoil_trim_x000D_
Access Mode:RW_x000D_
Description:Fine trimming of Vcoil to set the coil current level._x000D_
'0000': Vcoil is set to min val = 2.3V._x000D_
'1111': Vcoil is set to max val = 3.2375V._x000D_
LSB step = 62.5mV. </t>
        </r>
      </text>
    </comment>
    <comment ref="AE14" authorId="0" shapeId="0" xr:uid="{26DD6ECC-872F-4DE4-8B29-441C03452EC2}">
      <text>
        <r>
          <rPr>
            <sz val="9"/>
            <color indexed="81"/>
            <rFont val="Tahoma"/>
            <family val="2"/>
          </rPr>
          <t xml:space="preserve">Field Name: d_sdm_chop_e_x000D_
Access Mode:RW_x000D_
Description:When '1', the Sigma-Delta modulator chopper is enabled. </t>
        </r>
      </text>
    </comment>
    <comment ref="AF14" authorId="0" shapeId="0" xr:uid="{236E7D27-5A3F-43AA-B342-FBAA9A572290}">
      <text>
        <r>
          <rPr>
            <sz val="9"/>
            <color indexed="81"/>
            <rFont val="Tahoma"/>
            <family val="2"/>
          </rPr>
          <t xml:space="preserve">Field Name: d_afe1_gain_x000D_
Access Mode:RW_x000D_
Description:AFE 1 Gain selection._x000D_
'0': Gain set to 12x._x000D_
'1': Gain set to 6x. </t>
        </r>
      </text>
    </comment>
    <comment ref="AG14" authorId="0" shapeId="0" xr:uid="{FDFB6EC3-B331-4CB8-AA62-384FD6D81546}">
      <text>
        <r>
          <rPr>
            <sz val="9"/>
            <color indexed="81"/>
            <rFont val="Tahoma"/>
            <family val="2"/>
          </rPr>
          <t xml:space="preserve">Field Name: d_afe2_gain_x000D_
Access Mode:RW_x000D_
Description:AFE 2 Gain selection._x000D_
'0': Gain set to 12x._x000D_
'1': Gain set to 6x. </t>
        </r>
      </text>
    </comment>
    <comment ref="AH14" authorId="0" shapeId="0" xr:uid="{681AF015-A15A-4ABD-8D86-DD8FC28A6F4A}">
      <text>
        <r>
          <rPr>
            <sz val="9"/>
            <color indexed="81"/>
            <rFont val="Tahoma"/>
            <family val="2"/>
          </rPr>
          <t xml:space="preserve">Field Name: pga_gain_x000D_
Access Mode:RW_x000D_
Description:PGA Gain selection._x000D_
'00': PGA Gain is set to 1x._x000D_
'01': PGA Gain is set to 1.5x._x000D_
'10': PGA Gain is set to 2x._x000D_
'11': PGA Gain is set to 3x. </t>
        </r>
      </text>
    </comment>
    <comment ref="AJ14" authorId="0" shapeId="0" xr:uid="{DD2FDF5A-36C3-4C32-AD6E-54BF52844A2F}">
      <text>
        <r>
          <rPr>
            <sz val="9"/>
            <color indexed="81"/>
            <rFont val="Tahoma"/>
            <family val="2"/>
          </rPr>
          <t xml:space="preserve">Field Name: pga_gain_postlock_x000D_
Access Mode:RW_x000D_
Description:PGA gain selection when RRL is already locked._x000D_
'00': PGA Gain is set to 1x._x000D_
'01': PGA Gain is set to 1.5x._x000D_
'10': PGA Gain is set to 2x._x000D_
'11': PGA Gain is set to 3x. </t>
        </r>
      </text>
    </comment>
    <comment ref="D15" authorId="0" shapeId="0" xr:uid="{ED173EEB-32BC-4E44-B598-DFEF87892BE0}">
      <text>
        <r>
          <rPr>
            <sz val="9"/>
            <color indexed="81"/>
            <rFont val="Tahoma"/>
            <family val="2"/>
          </rPr>
          <t>Write lock: "factory_eeprom_lock_wr"_x000D_
Read lock: "customer_eeprom_lock_rd"</t>
        </r>
      </text>
    </comment>
    <comment ref="F15" authorId="0" shapeId="0" xr:uid="{2BB4C146-EBC6-4FA3-9D77-9BB80C2F30B6}">
      <text>
        <r>
          <rPr>
            <sz val="9"/>
            <color indexed="81"/>
            <rFont val="Tahoma"/>
            <family val="2"/>
          </rPr>
          <t xml:space="preserve">Field Name: ecc_8_x000D_
Access Mode:RW_x000D_
Description:Error correction code. </t>
        </r>
      </text>
    </comment>
    <comment ref="L15" authorId="0" shapeId="0" xr:uid="{60220B41-43A6-4469-B7AC-17B5AE4E5678}">
      <text>
        <r>
          <rPr>
            <sz val="9"/>
            <color indexed="81"/>
            <rFont val="Tahoma"/>
            <family val="2"/>
          </rPr>
          <t xml:space="preserve">Field Name: rrl_clock_polarity_x000D_
Access Mode:RW_x000D_
Description:When '1', the RRL clock polarity is inverted. </t>
        </r>
      </text>
    </comment>
    <comment ref="M15" authorId="0" shapeId="0" xr:uid="{BFED07CD-BE80-44FD-964D-B46EA45AEC1C}">
      <text>
        <r>
          <rPr>
            <sz val="9"/>
            <color indexed="81"/>
            <rFont val="Tahoma"/>
            <family val="2"/>
          </rPr>
          <t xml:space="preserve">Field Name: mcoil_polarity_x000D_
Access Mode:RW_x000D_
Description:When '1', the main coil clock polarity is inverted. </t>
        </r>
      </text>
    </comment>
    <comment ref="N15" authorId="0" shapeId="0" xr:uid="{B7BDAA46-A0AA-48DF-9AD1-B8830155DF90}">
      <text>
        <r>
          <rPr>
            <sz val="9"/>
            <color indexed="81"/>
            <rFont val="Tahoma"/>
            <family val="2"/>
          </rPr>
          <t xml:space="preserve">Field Name: scoil_polarity_x000D_
Access Mode:RW_x000D_
Description:When '1', the secondary coil clock polarity is inverted. </t>
        </r>
      </text>
    </comment>
    <comment ref="O15" authorId="0" shapeId="0" xr:uid="{4F16089C-1ACA-4596-8434-9A7493D5562B}">
      <text>
        <r>
          <rPr>
            <sz val="9"/>
            <color indexed="81"/>
            <rFont val="Tahoma"/>
            <family val="2"/>
          </rPr>
          <t xml:space="preserve">Field Name: tmr_polarity_x000D_
Access Mode:RW_x000D_
Description:When '1', TMR clock polarity is inverted. </t>
        </r>
      </text>
    </comment>
    <comment ref="P15" authorId="0" shapeId="0" xr:uid="{4D151976-6A57-4EE4-80ED-5B855BE5D38B}">
      <text>
        <r>
          <rPr>
            <sz val="9"/>
            <color indexed="81"/>
            <rFont val="Tahoma"/>
            <family val="2"/>
          </rPr>
          <t xml:space="preserve">Field Name: rrl_for_test_x000D_
Access Mode:RW_x000D_
Description:When '1', RRL used for testing instead of offset reduction. </t>
        </r>
      </text>
    </comment>
    <comment ref="Q15" authorId="0" shapeId="0" xr:uid="{9EA37B23-F556-4249-AEAF-5B6C66F1E6D6}">
      <text>
        <r>
          <rPr>
            <sz val="9"/>
            <color indexed="81"/>
            <rFont val="Tahoma"/>
            <family val="2"/>
          </rPr>
          <t xml:space="preserve">Field Name: swp_channels_x000D_
Access Mode:RW_x000D_
Description:When '1', digital channels are swapped before division. </t>
        </r>
      </text>
    </comment>
    <comment ref="R15" authorId="0" shapeId="0" xr:uid="{DBA600D3-7447-40D0-A817-8E2247172BA8}">
      <text>
        <r>
          <rPr>
            <sz val="9"/>
            <color indexed="81"/>
            <rFont val="Tahoma"/>
            <family val="2"/>
          </rPr>
          <t xml:space="preserve">Field Name: scoil_dis_x000D_
Access Mode:RW_x000D_
Description:When '1', the secondary coil is disabled during normal operation (not for ABIST).  </t>
        </r>
      </text>
    </comment>
    <comment ref="S15" authorId="0" shapeId="0" xr:uid="{70BA970B-F3CD-44B3-AE6D-0B33B661A520}">
      <text>
        <r>
          <rPr>
            <sz val="9"/>
            <color indexed="81"/>
            <rFont val="Tahoma"/>
            <family val="2"/>
          </rPr>
          <t xml:space="preserve">Field Name: tt_hys_x000D_
Access Mode:RW_x000D_
Description:Tiny temp hysteresis window in LSBs. </t>
        </r>
      </text>
    </comment>
    <comment ref="X15" authorId="0" shapeId="0" xr:uid="{F2C1DC8A-C601-44C0-9CAE-BD17777C77D9}">
      <text>
        <r>
          <rPr>
            <sz val="9"/>
            <color indexed="81"/>
            <rFont val="Tahoma"/>
            <family val="2"/>
          </rPr>
          <t xml:space="preserve">Field Name: tt_hys_e_x000D_
Access Mode:RW_x000D_
Description:Tiny temp hysterisis enable. </t>
        </r>
      </text>
    </comment>
    <comment ref="Y15" authorId="0" shapeId="0" xr:uid="{90256025-D049-4AA1-89EA-5EF1ABA1FF53}">
      <text>
        <r>
          <rPr>
            <sz val="9"/>
            <color indexed="81"/>
            <rFont val="Tahoma"/>
            <family val="2"/>
          </rPr>
          <t xml:space="preserve">Field Name: tt_toff_x000D_
Access Mode:RW_x000D_
Description:Tiny temp offset compensation (two's complement from -128 to +127)._x000D_
Effective offset: 4 x tt_toff. </t>
        </r>
      </text>
    </comment>
    <comment ref="AG15" authorId="0" shapeId="0" xr:uid="{EDD4B7E5-B717-469A-A635-5D02A55DD2E5}">
      <text>
        <r>
          <rPr>
            <sz val="9"/>
            <color indexed="81"/>
            <rFont val="Tahoma"/>
            <family val="2"/>
          </rPr>
          <t xml:space="preserve">Field Name: tt_chop_dis_x000D_
Access Mode:RW_x000D_
Description:When '1', Tiny Temp chopper is disabled. </t>
        </r>
      </text>
    </comment>
    <comment ref="AH15" authorId="0" shapeId="0" xr:uid="{D33C6C7E-D201-4FCD-BE05-6D80CD540042}">
      <text>
        <r>
          <rPr>
            <sz val="9"/>
            <color indexed="81"/>
            <rFont val="Tahoma"/>
            <family val="2"/>
          </rPr>
          <t xml:space="preserve">Field Name: kalman_p_gain_x000D_
Access Mode:RW_x000D_
Description:Kalman filter for P divisor gain selection._x000D_
'00': 1/8_x000D_
'01': 1/16_x000D_
'10': 1/32_x000D_
'11': 1/64 </t>
        </r>
      </text>
    </comment>
    <comment ref="AJ15" authorId="0" shapeId="0" xr:uid="{C430F3F6-F98B-45DC-9A2D-018209DFAEB4}">
      <text>
        <r>
          <rPr>
            <sz val="9"/>
            <color indexed="81"/>
            <rFont val="Tahoma"/>
            <family val="2"/>
          </rPr>
          <t xml:space="preserve">Field Name: kalman_p_e_x000D_
Access Mode:RW_x000D_
Description:Enables Kalman filter for P divisor. </t>
        </r>
      </text>
    </comment>
    <comment ref="AK15" authorId="0" shapeId="0" xr:uid="{B43753DF-8A64-4BCE-8473-A35885DD8815}">
      <text>
        <r>
          <rPr>
            <sz val="9"/>
            <color indexed="81"/>
            <rFont val="Tahoma"/>
            <family val="2"/>
          </rPr>
          <t xml:space="preserve">Field Name: afe_chop_e_x000D_
Access Mode:RW_x000D_
Description:When '1', chopper is enabled for both channels AFE. </t>
        </r>
      </text>
    </comment>
    <comment ref="D16" authorId="0" shapeId="0" xr:uid="{8AA78DC8-9560-416D-8BF6-A9D69359109E}">
      <text>
        <r>
          <rPr>
            <sz val="9"/>
            <color indexed="81"/>
            <rFont val="Tahoma"/>
            <family val="2"/>
          </rPr>
          <t>Write lock: "factory_eeprom_lock_wr"_x000D_
Read lock: "customer_eeprom_lock_rd"</t>
        </r>
      </text>
    </comment>
    <comment ref="F16" authorId="0" shapeId="0" xr:uid="{F8E0968D-B236-4FF2-B769-BC3B906B123A}">
      <text>
        <r>
          <rPr>
            <sz val="9"/>
            <color indexed="81"/>
            <rFont val="Tahoma"/>
            <family val="2"/>
          </rPr>
          <t xml:space="preserve">Field Name: ecc_9_x000D_
Access Mode:RW_x000D_
Description:Error correction code. </t>
        </r>
      </text>
    </comment>
    <comment ref="P16" authorId="0" shapeId="0" xr:uid="{8688E8F0-2198-46F5-8C1F-ED00C5559034}">
      <text>
        <r>
          <rPr>
            <sz val="9"/>
            <color indexed="81"/>
            <rFont val="Tahoma"/>
            <family val="2"/>
          </rPr>
          <t xml:space="preserve">Field Name: block_volatile_output_x000D_
Access Mode:RW_x000D_
Description:Block volatile outputs to avoid false test mode activating. </t>
        </r>
      </text>
    </comment>
    <comment ref="Q16" authorId="0" shapeId="0" xr:uid="{5E8169E0-F1B1-42BF-A790-AC6B5B02144C}">
      <text>
        <r>
          <rPr>
            <sz val="9"/>
            <color indexed="81"/>
            <rFont val="Tahoma"/>
            <family val="2"/>
          </rPr>
          <t xml:space="preserve">Field Name: comp_e_x000D_
Access Mode:RW_x000D_
Description:When '1', temperature compensation is enabled. Otherwise it is bypassed. </t>
        </r>
      </text>
    </comment>
    <comment ref="R16" authorId="0" shapeId="0" xr:uid="{1A547980-13A2-4A77-ACE4-78FD1188BA87}">
      <text>
        <r>
          <rPr>
            <sz val="9"/>
            <color indexed="81"/>
            <rFont val="Tahoma"/>
            <family val="2"/>
          </rPr>
          <t xml:space="preserve">Field Name: vo1_tc_x000D_
Access Mode:RW_x000D_
Description:V1 offset TC (two's complement from -512 to +511). </t>
        </r>
      </text>
    </comment>
    <comment ref="AB16" authorId="0" shapeId="0" xr:uid="{0348BE15-2B02-429E-99A1-D43334D499EB}">
      <text>
        <r>
          <rPr>
            <sz val="9"/>
            <color indexed="81"/>
            <rFont val="Tahoma"/>
            <family val="2"/>
          </rPr>
          <t xml:space="preserve">Field Name: vo1_room_x000D_
Access Mode:RW_x000D_
Description:V1 offset at 25?C (two's complement from -512 to +511). </t>
        </r>
      </text>
    </comment>
    <comment ref="D17" authorId="0" shapeId="0" xr:uid="{6B9C5089-C643-4654-B060-58EEC4C69468}">
      <text>
        <r>
          <rPr>
            <sz val="9"/>
            <color indexed="81"/>
            <rFont val="Tahoma"/>
            <family val="2"/>
          </rPr>
          <t>Write lock: "factory_eeprom_lock_wr"_x000D_
Read lock: "customer_eeprom_lock_rd"</t>
        </r>
      </text>
    </comment>
    <comment ref="F17" authorId="0" shapeId="0" xr:uid="{4A8413C6-9CA3-431F-825D-698A84DA8A68}">
      <text>
        <r>
          <rPr>
            <sz val="9"/>
            <color indexed="81"/>
            <rFont val="Tahoma"/>
            <family val="2"/>
          </rPr>
          <t xml:space="preserve">Field Name: ecc_a_x000D_
Access Mode:RW_x000D_
Description:Error correction code. </t>
        </r>
      </text>
    </comment>
    <comment ref="L17" authorId="0" shapeId="0" xr:uid="{8B730853-0AFD-4420-B94D-3AAFEADAE9BE}">
      <text>
        <r>
          <rPr>
            <sz val="9"/>
            <color indexed="81"/>
            <rFont val="Tahoma"/>
            <family val="2"/>
          </rPr>
          <t xml:space="preserve">Field Name: rrl_clock_delay_x000D_
Access Mode:RW_x000D_
Description:RRL clock delay trimming._x000D_
When RRL used for test, nominal delay value is d17._x000D_
When RRL used for chopper, nominal delay value is d14. </t>
        </r>
      </text>
    </comment>
    <comment ref="R17" authorId="0" shapeId="0" xr:uid="{8BF64B77-9AE6-47FF-B6B0-583DE8507699}">
      <text>
        <r>
          <rPr>
            <sz val="9"/>
            <color indexed="81"/>
            <rFont val="Tahoma"/>
            <family val="2"/>
          </rPr>
          <t xml:space="preserve">Field Name: vo2_tc_x000D_
Access Mode:RW_x000D_
Description:V2 offset TC (two's complement from -512 to +511). </t>
        </r>
      </text>
    </comment>
    <comment ref="AB17" authorId="0" shapeId="0" xr:uid="{998966AE-D434-4D23-ACA2-DEC8A220305D}">
      <text>
        <r>
          <rPr>
            <sz val="9"/>
            <color indexed="81"/>
            <rFont val="Tahoma"/>
            <family val="2"/>
          </rPr>
          <t xml:space="preserve">Field Name: vo2_room_x000D_
Access Mode:RW_x000D_
Description:V2 offset at 25?C (two's complement from -512 to +511). </t>
        </r>
      </text>
    </comment>
    <comment ref="D18" authorId="0" shapeId="0" xr:uid="{E6CF7C69-C09E-4EAE-9355-4BE41880A7FC}">
      <text>
        <r>
          <rPr>
            <sz val="9"/>
            <color indexed="81"/>
            <rFont val="Tahoma"/>
            <family val="2"/>
          </rPr>
          <t>Write lock: "factory_eeprom_lock_wr"_x000D_
Read lock: "customer_eeprom_lock_rd"</t>
        </r>
      </text>
    </comment>
    <comment ref="F18" authorId="0" shapeId="0" xr:uid="{035E6401-8C32-4152-A232-5B25AA4D8B70}">
      <text>
        <r>
          <rPr>
            <sz val="9"/>
            <color indexed="81"/>
            <rFont val="Tahoma"/>
            <family val="2"/>
          </rPr>
          <t xml:space="preserve">Field Name: ecc_b_x000D_
Access Mode:RW_x000D_
Description:Error correction code. </t>
        </r>
      </text>
    </comment>
    <comment ref="T18" authorId="0" shapeId="0" xr:uid="{D82538B5-A3F0-4F44-B228-3DA5267EFF82}">
      <text>
        <r>
          <rPr>
            <sz val="9"/>
            <color indexed="81"/>
            <rFont val="Tahoma"/>
            <family val="2"/>
          </rPr>
          <t xml:space="preserve">Field Name: a1_tc_x000D_
Access Mode:RW_x000D_
Description:A1 gain TC (two's complement from -256 to +255). If no compensation is required, set it to 0. </t>
        </r>
      </text>
    </comment>
    <comment ref="AC18" authorId="0" shapeId="0" xr:uid="{822685ED-6F3D-4101-A1C1-9C73DBDC52D1}">
      <text>
        <r>
          <rPr>
            <sz val="9"/>
            <color indexed="81"/>
            <rFont val="Tahoma"/>
            <family val="2"/>
          </rPr>
          <t xml:space="preserve">Field Name: a1_room_x000D_
Access Mode:RW_x000D_
Description:A1 gain at 25?C (unsigned from 0 to +511). If no compensation is required, set it to +256. </t>
        </r>
      </text>
    </comment>
    <comment ref="D19" authorId="0" shapeId="0" xr:uid="{6B7E165D-06B8-4C84-8A00-9C8B2F20BB5F}">
      <text>
        <r>
          <rPr>
            <sz val="9"/>
            <color indexed="81"/>
            <rFont val="Tahoma"/>
            <family val="2"/>
          </rPr>
          <t>Write lock: "factory_eeprom_lock_wr"_x000D_
Read lock: "customer_eeprom_lock_rd"</t>
        </r>
      </text>
    </comment>
    <comment ref="F19" authorId="0" shapeId="0" xr:uid="{3E2D0C5B-E1AF-4B6F-95B0-A3FEB141EED7}">
      <text>
        <r>
          <rPr>
            <sz val="9"/>
            <color indexed="81"/>
            <rFont val="Tahoma"/>
            <family val="2"/>
          </rPr>
          <t xml:space="preserve">Field Name: ecc_c_x000D_
Access Mode:RW_x000D_
Description:Error correction code. </t>
        </r>
      </text>
    </comment>
    <comment ref="M19" authorId="0" shapeId="0" xr:uid="{46972063-71DE-4782-B75B-6E85498C6DA5}">
      <text>
        <r>
          <rPr>
            <sz val="9"/>
            <color indexed="81"/>
            <rFont val="Tahoma"/>
            <family val="2"/>
          </rPr>
          <t xml:space="preserve">Field Name: vtmr_room_x000D_
Access Mode:RW_x000D_
Description:VTMR DAC value at 25?C (unsigned, from 0 to +127)._x000D_
'0000000': min val 0.5V._x000D_
'1111111': max val 2.0V._x000D_
LSB step = 11.71875 mV. </t>
        </r>
      </text>
    </comment>
    <comment ref="T19" authorId="0" shapeId="0" xr:uid="{27B4E972-1618-4981-9797-238389ECF81B}">
      <text>
        <r>
          <rPr>
            <sz val="9"/>
            <color indexed="81"/>
            <rFont val="Tahoma"/>
            <family val="2"/>
          </rPr>
          <t xml:space="preserve">Field Name: a2_tc_x000D_
Access Mode:RW_x000D_
Description:A2 gain TC (two's complement from -256 to +255). If no compensation is required, set it to 0. </t>
        </r>
      </text>
    </comment>
    <comment ref="AC19" authorId="0" shapeId="0" xr:uid="{DA460508-FBC0-4E35-BDE2-13948E0EFDD6}">
      <text>
        <r>
          <rPr>
            <sz val="9"/>
            <color indexed="81"/>
            <rFont val="Tahoma"/>
            <family val="2"/>
          </rPr>
          <t xml:space="preserve">Field Name: a2_room_x000D_
Access Mode:RW_x000D_
Description:A2 gain at 25?C (unsigned from 0 to +511). If no compensation is required, set it to +256. </t>
        </r>
      </text>
    </comment>
    <comment ref="D20" authorId="0" shapeId="0" xr:uid="{58102AE0-FD7A-4224-AE89-330C5BF00D0A}">
      <text>
        <r>
          <rPr>
            <sz val="9"/>
            <color indexed="81"/>
            <rFont val="Tahoma"/>
            <family val="2"/>
          </rPr>
          <t>Write lock: "factory_eeprom_lock_wr"_x000D_
Read lock: "customer_eeprom_lock_rd"</t>
        </r>
      </text>
    </comment>
    <comment ref="F20" authorId="0" shapeId="0" xr:uid="{87238086-40EB-4B8F-8B6E-274525F211DE}">
      <text>
        <r>
          <rPr>
            <sz val="9"/>
            <color indexed="81"/>
            <rFont val="Tahoma"/>
            <family val="2"/>
          </rPr>
          <t xml:space="preserve">Field Name: ecc_d_x000D_
Access Mode:RW_x000D_
Description:Error correction code. </t>
        </r>
      </text>
    </comment>
    <comment ref="L20" authorId="0" shapeId="0" xr:uid="{F71D09E4-1348-4CB9-938C-4275C0479709}">
      <text>
        <r>
          <rPr>
            <sz val="9"/>
            <color indexed="81"/>
            <rFont val="Tahoma"/>
            <family val="2"/>
          </rPr>
          <t xml:space="preserve">Field Name: vtmr_tc_h_x000D_
Access Mode:RW_x000D_
Description:VTMR TC slope above slope change point (unsigned from 0 to +1023). </t>
        </r>
      </text>
    </comment>
    <comment ref="V20" authorId="0" shapeId="0" xr:uid="{7885F192-FB93-46C6-9857-3E444776FB53}">
      <text>
        <r>
          <rPr>
            <sz val="9"/>
            <color indexed="81"/>
            <rFont val="Tahoma"/>
            <family val="2"/>
          </rPr>
          <t xml:space="preserve">Field Name: vtmr_tc_l_x000D_
Access Mode:RW_x000D_
Description:VTMR TC slope above slope change point (unsigned from 0 to +1023). </t>
        </r>
      </text>
    </comment>
    <comment ref="AF20" authorId="0" shapeId="0" xr:uid="{A4BBAD66-8C4E-4798-B452-912C49CE62E0}">
      <text>
        <r>
          <rPr>
            <sz val="9"/>
            <color indexed="81"/>
            <rFont val="Tahoma"/>
            <family val="2"/>
          </rPr>
          <t xml:space="preserve">Field Name: vtmr_tinf_x000D_
Access Mode:RW_x000D_
Description:VTMR slope change temperature point. Actual inflection point is 64 x vtmr_inf. </t>
        </r>
      </text>
    </comment>
    <comment ref="D21" authorId="0" shapeId="0" xr:uid="{9E3FA752-4648-477A-AE0A-E32E93C0BAD4}">
      <text>
        <r>
          <rPr>
            <sz val="9"/>
            <color indexed="81"/>
            <rFont val="Tahoma"/>
            <family val="2"/>
          </rPr>
          <t>Write lock: "factory_eeprom_lock_wr"_x000D_
Read lock: "customer_eeprom_lock_rd"</t>
        </r>
      </text>
    </comment>
    <comment ref="F21" authorId="0" shapeId="0" xr:uid="{9B92F6B3-1C84-4E74-8A1D-3B976BFE57F2}">
      <text>
        <r>
          <rPr>
            <sz val="9"/>
            <color indexed="81"/>
            <rFont val="Tahoma"/>
            <family val="2"/>
          </rPr>
          <t xml:space="preserve">Field Name: ecc_e_x000D_
Access Mode:RW_x000D_
Description:Error correction code. </t>
        </r>
      </text>
    </comment>
    <comment ref="L21" authorId="0" shapeId="0" xr:uid="{F564F78F-8F24-4A01-8BF8-99BFB88E8AAF}">
      <text>
        <r>
          <rPr>
            <sz val="9"/>
            <color indexed="81"/>
            <rFont val="Tahoma"/>
            <family val="2"/>
          </rPr>
          <t xml:space="preserve">Field Name: kd_int_x000D_
Access Mode:RW_x000D_
Description:KD coefficient integer part. </t>
        </r>
      </text>
    </comment>
    <comment ref="M21" authorId="0" shapeId="0" xr:uid="{F46C2260-AFD4-4E5B-9E8D-314E1D7E1A90}">
      <text>
        <r>
          <rPr>
            <sz val="9"/>
            <color indexed="81"/>
            <rFont val="Tahoma"/>
            <family val="2"/>
          </rPr>
          <t xml:space="preserve">Field Name: kd_frac_x000D_
Access Mode:RW_x000D_
Description:KD coefficient fractional part (two's complement from -1024 to +1023). </t>
        </r>
      </text>
    </comment>
    <comment ref="X21" authorId="0" shapeId="0" xr:uid="{E9766EC9-A4D2-40AF-BD72-0685247B209F}">
      <text>
        <r>
          <rPr>
            <sz val="9"/>
            <color indexed="81"/>
            <rFont val="Tahoma"/>
            <family val="2"/>
          </rPr>
          <t xml:space="preserve">Field Name: delta_d_x000D_
Access Mode:RW_x000D_
Description:Delta_d coefficient (two's complement from -8192 to +8191). </t>
        </r>
      </text>
    </comment>
    <comment ref="D22" authorId="0" shapeId="0" xr:uid="{A45F7235-9CCB-4795-9FA8-E7967AFBA127}">
      <text>
        <r>
          <rPr>
            <sz val="9"/>
            <color indexed="81"/>
            <rFont val="Tahoma"/>
            <family val="2"/>
          </rPr>
          <t>Write lock: "factory_eeprom_lock_wr"_x000D_
Read lock: "customer_eeprom_lock_rd"</t>
        </r>
      </text>
    </comment>
    <comment ref="F22" authorId="0" shapeId="0" xr:uid="{454FF84C-1096-471C-A89F-1819E5493526}">
      <text>
        <r>
          <rPr>
            <sz val="9"/>
            <color indexed="81"/>
            <rFont val="Tahoma"/>
            <family val="2"/>
          </rPr>
          <t xml:space="preserve">Field Name: ecc_f_x000D_
Access Mode:RW_x000D_
Description:Error correction code. </t>
        </r>
      </text>
    </comment>
    <comment ref="N22" authorId="0" shapeId="0" xr:uid="{E0E76506-4AA6-4977-BAC3-13330AF797B6}">
      <text>
        <r>
          <rPr>
            <sz val="9"/>
            <color indexed="81"/>
            <rFont val="Tahoma"/>
            <family val="2"/>
          </rPr>
          <t xml:space="preserve">Field Name: v1_m_v2_thr_h_x000D_
Access Mode:RW_x000D_
Description:v1 - v2 threshold high (steps of 64 LSBs). </t>
        </r>
      </text>
    </comment>
    <comment ref="T22" authorId="0" shapeId="0" xr:uid="{2220D821-AFA6-4681-9086-89831D7F1BBB}">
      <text>
        <r>
          <rPr>
            <sz val="9"/>
            <color indexed="81"/>
            <rFont val="Tahoma"/>
            <family val="2"/>
          </rPr>
          <t xml:space="preserve">Field Name: v1_m_v2_thr_l_x000D_
Access Mode:RW_x000D_
Description:v1 - v2 threshold low (steps of 1024 LSBs). </t>
        </r>
      </text>
    </comment>
    <comment ref="Z22" authorId="0" shapeId="0" xr:uid="{9AB82BB4-A95D-4CBA-9130-F6350402378F}">
      <text>
        <r>
          <rPr>
            <sz val="9"/>
            <color indexed="81"/>
            <rFont val="Tahoma"/>
            <family val="2"/>
          </rPr>
          <t xml:space="preserve">Field Name: v1_div_v2_thr_h_x000D_
Access Mode:RW_x000D_
Description:v1_sec / v2_sec threshold high (steps of 512 LSBs). </t>
        </r>
      </text>
    </comment>
    <comment ref="AF22" authorId="0" shapeId="0" xr:uid="{B3CC0F67-9FB0-4AA4-B014-95880CB96BF6}">
      <text>
        <r>
          <rPr>
            <sz val="9"/>
            <color indexed="81"/>
            <rFont val="Tahoma"/>
            <family val="2"/>
          </rPr>
          <t xml:space="preserve">Field Name: v1_div_v2_thr_l_x000D_
Access Mode:RW_x000D_
Description:v1_sec / v2_sec threshold low (steps of 1024 LSBs). </t>
        </r>
      </text>
    </comment>
    <comment ref="D23" authorId="0" shapeId="0" xr:uid="{C8B2FB44-E532-4321-B994-30ADEC111641}">
      <text>
        <r>
          <rPr>
            <sz val="9"/>
            <color indexed="81"/>
            <rFont val="Tahoma"/>
            <family val="2"/>
          </rPr>
          <t>Write lock: "customer_eeprom_lock_wr"_x000D_
Read lock: "customer_eeprom_lock_rd"</t>
        </r>
      </text>
    </comment>
    <comment ref="F23" authorId="0" shapeId="0" xr:uid="{A33D00BD-C8B9-45BC-8E85-849F192298D1}">
      <text>
        <r>
          <rPr>
            <sz val="9"/>
            <color indexed="81"/>
            <rFont val="Tahoma"/>
            <family val="2"/>
          </rPr>
          <t xml:space="preserve">Field Name: ecc_10_x000D_
Access Mode:RW_x000D_
Description:Error correction code. </t>
        </r>
      </text>
    </comment>
    <comment ref="N23" authorId="0" shapeId="0" xr:uid="{D6DA6A2F-3A5E-46CF-8B58-8C044825F12A}">
      <text>
        <r>
          <rPr>
            <sz val="9"/>
            <color indexed="81"/>
            <rFont val="Tahoma"/>
            <family val="2"/>
          </rPr>
          <t xml:space="preserve">Field Name: sent_scn_config_x000D_
Access Mode:RW_x000D_
Description:SENT Status and configuration nibble configuration._x000D_
0:  SCN[3:2] = SENT slow serial message._x000D_
1:  SCN[3:2] = All zeros._x000D_
2:  SCN[3:2] = Device ID, SCN[3] = ID[1] and SCN[2] = ID[0]._x000D_
3:  SCN[3:2] = SENT slow serial message (same as option 0). </t>
        </r>
      </text>
    </comment>
    <comment ref="P23" authorId="0" shapeId="0" xr:uid="{0A130960-7622-44A2-BC67-A7643D078213}">
      <text>
        <r>
          <rPr>
            <sz val="9"/>
            <color indexed="81"/>
            <rFont val="Tahoma"/>
            <family val="2"/>
          </rPr>
          <t xml:space="preserve">Field Name: sent_data_config_x000D_
Access Mode:RW_x000D_
Description:Number and format of data nibbles in SENT frame.  </t>
        </r>
      </text>
    </comment>
    <comment ref="S23" authorId="0" shapeId="0" xr:uid="{7185A0C4-8D36-4C31-B381-B84075B9A1A6}">
      <text>
        <r>
          <rPr>
            <sz val="9"/>
            <color indexed="81"/>
            <rFont val="Tahoma"/>
            <family val="2"/>
          </rPr>
          <t xml:space="preserve">Field Name: sent_splmin_adjust_x000D_
Access Mode:RW_x000D_
Description:Function Pulse Adjust. Only for SSENT-Long. Increases the lower threshold of F_OUTPUT pulse:_x000D_
00: No change to F_OUTPUT pulse width. Minimum width = 7 Ticks._x000D_
01: Minimum width of F_OUTPUT increased by 1 Tick. Min = 8 Ticks._x000D_
10: Minimum width of F_OUTPUT increased by 2 Ticks. Min = 9 Ticks._x000D_
11: Minimum width of F_OUTPUT increased by 3 Ticks. Min = 10 Ticks. </t>
        </r>
      </text>
    </comment>
    <comment ref="U23" authorId="0" shapeId="0" xr:uid="{58ECE2E3-AC8C-4AA8-9D3E-695A602EFA3A}">
      <text>
        <r>
          <rPr>
            <sz val="9"/>
            <color indexed="81"/>
            <rFont val="Tahoma"/>
            <family val="2"/>
          </rPr>
          <t xml:space="preserve">Field Name: sent_slot_marking_x000D_
Access Mode:RW_x000D_
Description:When '1', In SSENT, slot marking times applied prior to start of frame. </t>
        </r>
      </text>
    </comment>
    <comment ref="V23" authorId="0" shapeId="0" xr:uid="{63E6B96D-2AE7-475E-AC6A-F306B6F8948A}">
      <text>
        <r>
          <rPr>
            <sz val="9"/>
            <color indexed="81"/>
            <rFont val="Tahoma"/>
            <family val="2"/>
          </rPr>
          <t xml:space="preserve">Field Name: sent_slot_sync_x000D_
Access Mode:RW_x000D_
Description:When '1', In SSENT+slot_marking, uses slot_marking output pulse from other devices to sync internal slot counter. </t>
        </r>
      </text>
    </comment>
    <comment ref="W23" authorId="0" shapeId="0" xr:uid="{9193FCB9-8446-4A8A-B91F-46C37E8D6EE6}">
      <text>
        <r>
          <rPr>
            <sz val="9"/>
            <color indexed="81"/>
            <rFont val="Tahoma"/>
            <family val="2"/>
          </rPr>
          <t xml:space="preserve">Field Name: sent_por_offline_x000D_
Access Mode:RW_x000D_
Description:When '1', sensor will be in OFFLINE mode following a POR. Only for SSENT modes. </t>
        </r>
      </text>
    </comment>
    <comment ref="X23" authorId="0" shapeId="0" xr:uid="{610E2E2D-4FFF-4A15-B2F0-03ED34FE5D2F}">
      <text>
        <r>
          <rPr>
            <sz val="9"/>
            <color indexed="81"/>
            <rFont val="Tahoma"/>
            <family val="2"/>
          </rPr>
          <t xml:space="preserve">Field Name: sent_idle_sync_x000D_
Access Mode:RW_x000D_
Description:When '1', In SSENT, bus idle time &gt; 510 ticks will act as F_SYNC. </t>
        </r>
      </text>
    </comment>
    <comment ref="Y23" authorId="0" shapeId="0" xr:uid="{053F0EBB-DB7E-4992-9E3C-BE4385426620}">
      <text>
        <r>
          <rPr>
            <sz val="9"/>
            <color indexed="81"/>
            <rFont val="Tahoma"/>
            <family val="2"/>
          </rPr>
          <t xml:space="preserve">Field Name: sent_fsample_adr_x000D_
Access Mode:RW_x000D_
Description:When '1', F_SAMPLE is addressing + sample_and_hold request. </t>
        </r>
      </text>
    </comment>
    <comment ref="Z23" authorId="0" shapeId="0" xr:uid="{EB17FE20-BB05-4BC2-9410-9A928CD6530F}">
      <text>
        <r>
          <rPr>
            <sz val="9"/>
            <color indexed="81"/>
            <rFont val="Tahoma"/>
            <family val="2"/>
          </rPr>
          <t xml:space="preserve">Field Name: sent_zero_sample_x000D_
Access Mode:RW_x000D_
Description:When '1', In SSENT, sample_and_hold requested when slot_cntr=0. </t>
        </r>
      </text>
    </comment>
    <comment ref="AA23" authorId="0" shapeId="0" xr:uid="{BE243259-74BA-4797-967E-4319192FB6E1}">
      <text>
        <r>
          <rPr>
            <sz val="9"/>
            <color indexed="81"/>
            <rFont val="Tahoma"/>
            <family val="2"/>
          </rPr>
          <t xml:space="preserve">Field Name: sent_no_fsample_x000D_
Access Mode:RW_x000D_
Description:When '1', F_SAMPLE will not create a sample_and_hold request when a F_SAMPLE pulse is broadcasted. </t>
        </r>
      </text>
    </comment>
    <comment ref="AB23" authorId="0" shapeId="0" xr:uid="{189C64F5-CF15-43B3-B17F-951D7A1ECA0F}">
      <text>
        <r>
          <rPr>
            <sz val="9"/>
            <color indexed="81"/>
            <rFont val="Tahoma"/>
            <family val="2"/>
          </rPr>
          <t xml:space="preserve">Field Name: sent_device_id_x000D_
Access Mode:RW_x000D_
Description:Device ID for SSENT, ASENT and Manchester serial communication. </t>
        </r>
      </text>
    </comment>
    <comment ref="AD23" authorId="0" shapeId="0" xr:uid="{AE70947B-8D17-492B-9FCD-1FCF64B71759}">
      <text>
        <r>
          <rPr>
            <sz val="9"/>
            <color indexed="81"/>
            <rFont val="Tahoma"/>
            <family val="2"/>
          </rPr>
          <t xml:space="preserve">Field Name: sent_max_devices_x000D_
Access Mode:RW_x000D_
Description:Highest device number on the bus for SSENT. </t>
        </r>
      </text>
    </comment>
    <comment ref="AF23" authorId="0" shapeId="0" xr:uid="{0AFC5105-7C4D-4085-AC65-18552611C44F}">
      <text>
        <r>
          <rPr>
            <sz val="9"/>
            <color indexed="81"/>
            <rFont val="Tahoma"/>
            <family val="2"/>
          </rPr>
          <t xml:space="preserve">Field Name: sent_aux_adr_x000D_
Access Mode:RW_x000D_
Description:F_AUX addressing mode._x000D_
0: F_AUX is broadcast._x000D_
1: F_AUX is addressing. </t>
        </r>
      </text>
    </comment>
    <comment ref="AG23" authorId="0" shapeId="0" xr:uid="{A1D7492E-9087-417E-845D-F0BD70C53296}">
      <text>
        <r>
          <rPr>
            <sz val="9"/>
            <color indexed="81"/>
            <rFont val="Tahoma"/>
            <family val="2"/>
          </rPr>
          <t xml:space="preserve">Field Name: sent_crc_scn_x000D_
Access Mode:RW_x000D_
Description:When '1', SCN nibble is used to calculate CRC along with data nibbles. </t>
        </r>
      </text>
    </comment>
    <comment ref="AH23" authorId="0" shapeId="0" xr:uid="{F1323E9D-5208-4BCB-8558-B916E0EE8579}">
      <text>
        <r>
          <rPr>
            <sz val="9"/>
            <color indexed="81"/>
            <rFont val="Tahoma"/>
            <family val="2"/>
          </rPr>
          <t xml:space="preserve">Field Name: sent_no_smsg_x000D_
Access Mode:RW_x000D_
Description:0: Only bits [1:0] of the Status Nibble are writable by scn_data[1:0] input, bits [3:2] of the Status Nibble are used for short serial message._x000D_
1: Suppress short serial message, the scn_data[3:0] input writes the complete Status Nibble. </t>
        </r>
      </text>
    </comment>
    <comment ref="AI23" authorId="0" shapeId="0" xr:uid="{2E029AAF-476A-40E4-99E0-9BB17B1CB6B0}">
      <text>
        <r>
          <rPr>
            <sz val="9"/>
            <color indexed="81"/>
            <rFont val="Tahoma"/>
            <family val="2"/>
          </rPr>
          <t xml:space="preserve">Field Name: sent_output_mode_x000D_
Access Mode:RW_x000D_
Description:Output mode:_x000D_
0: SENT_x000D_
1: SENT - Paused_x000D_
2: ISENT_x000D_
3: TSENT - SCN_x000D_
4: TSENT - Falling_x000D_
5: SSENT - Short_x000D_
6: SSENT - Long_x000D_
7: ASENT </t>
        </r>
      </text>
    </comment>
    <comment ref="D24" authorId="0" shapeId="0" xr:uid="{79D74243-CA87-49FE-BDF0-EAEAAFD6B9B6}">
      <text>
        <r>
          <rPr>
            <sz val="9"/>
            <color indexed="81"/>
            <rFont val="Tahoma"/>
            <family val="2"/>
          </rPr>
          <t>Write lock: "customer_eeprom_lock_wr"_x000D_
Read lock: "customer_eeprom_lock_rd"</t>
        </r>
      </text>
    </comment>
    <comment ref="F24" authorId="0" shapeId="0" xr:uid="{CB57B1E6-163D-4F87-A508-7AF66BADD91B}">
      <text>
        <r>
          <rPr>
            <sz val="9"/>
            <color indexed="81"/>
            <rFont val="Tahoma"/>
            <family val="2"/>
          </rPr>
          <t xml:space="preserve">Field Name: ecc_11_x000D_
Access Mode:RW_x000D_
Description:Error correction code. </t>
        </r>
      </text>
    </comment>
    <comment ref="AC24" authorId="0" shapeId="0" xr:uid="{0CE1048E-89F1-4823-8E3A-43C60478A47F}">
      <text>
        <r>
          <rPr>
            <sz val="9"/>
            <color indexed="81"/>
            <rFont val="Tahoma"/>
            <family val="2"/>
          </rPr>
          <t xml:space="preserve">Field Name: sent_trg_config_x000D_
Access Mode:RW_x000D_
Description:SENT minimum low time for recognize a valid TSENT trigger pulse or a valid ASENT incaddr pulse._x000D_
0: 2.5us_x000D_
1: 5us_x000D_
2: 10us_x000D_
3: 0.5us </t>
        </r>
      </text>
    </comment>
    <comment ref="AE24" authorId="0" shapeId="0" xr:uid="{187B8075-7156-4BC3-B959-CE2244BC23E5}">
      <text>
        <r>
          <rPr>
            <sz val="9"/>
            <color indexed="81"/>
            <rFont val="Tahoma"/>
            <family val="2"/>
          </rPr>
          <t xml:space="preserve">Field Name: sent_tick_time_x000D_
Access Mode:RW_x000D_
Description:SENT tick time selection (from 1 to 127, 0 yields an invalid frame)._x000D_
From 122ns (sent_tick_time=1)._x000D_
To 15.5us (sent_tick_time=127)._x000D_
Step: 1LSB = 122ns. </t>
        </r>
      </text>
    </comment>
    <comment ref="D25" authorId="0" shapeId="0" xr:uid="{AF5CCAEB-59D3-4CA5-A711-E8DACC8B0318}">
      <text>
        <r>
          <rPr>
            <sz val="9"/>
            <color indexed="81"/>
            <rFont val="Tahoma"/>
            <family val="2"/>
          </rPr>
          <t>Write lock: "customer_eeprom_lock_wr"_x000D_
Read lock: "customer_eeprom_lock_rd"</t>
        </r>
      </text>
    </comment>
    <comment ref="F25" authorId="0" shapeId="0" xr:uid="{CF3D73DA-2378-41CD-9C80-0479C1DADB4C}">
      <text>
        <r>
          <rPr>
            <sz val="9"/>
            <color indexed="81"/>
            <rFont val="Tahoma"/>
            <family val="2"/>
          </rPr>
          <t xml:space="preserve">Field Name: ecc_12_x000D_
Access Mode:RW_x000D_
Description:Error correction code. </t>
        </r>
      </text>
    </comment>
    <comment ref="AC25" authorId="0" shapeId="0" xr:uid="{3D1022D7-AF38-456F-B7AC-0AD07A61B540}">
      <text>
        <r>
          <rPr>
            <sz val="9"/>
            <color indexed="81"/>
            <rFont val="Tahoma"/>
            <family val="2"/>
          </rPr>
          <t xml:space="preserve">Field Name: outdrv_sel_x000D_
Access Mode:RW_x000D_
Description:Adjust output driving for fall time control._x000D_
'000': Output fall time is 0.05 usec._x000D_
'001': Output fall time is 0.1 usec._x000D_
'010': Output fall time is 0.2 usec._x000D_
'011': Output fall time is 0.3 usec._x000D_
'100': Output fall time is 0.8 usec._x000D_
'101': Output fall time is 1.5 usec._x000D_
'110': Output fall time is 3.2 usec._x000D_
'111': Output fall time is 5.0 usec. </t>
        </r>
      </text>
    </comment>
    <comment ref="AF25" authorId="0" shapeId="0" xr:uid="{2D9E59F3-7647-4A1B-94D7-D4C63E9BD985}">
      <text>
        <r>
          <rPr>
            <sz val="9"/>
            <color indexed="81"/>
            <rFont val="Tahoma"/>
            <family val="2"/>
          </rPr>
          <t xml:space="preserve">Field Name: pwm1_sent0_x000D_
Access Mode:RW_x000D_
Description:When '1', PWM is enabled, when '0' SENT is enabled. </t>
        </r>
      </text>
    </comment>
    <comment ref="AG25" authorId="0" shapeId="0" xr:uid="{F8510EBF-EC89-4598-B120-12029393D0F9}">
      <text>
        <r>
          <rPr>
            <sz val="9"/>
            <color indexed="81"/>
            <rFont val="Tahoma"/>
            <family val="2"/>
          </rPr>
          <t xml:space="preserve">Field Name: pwm_cmd_trigger_config_x000D_
Access Mode:RW_x000D_
Description:When '1', command triggers every time the condition is met._x000D_
When '0', command triggers after the host releases the pwm_out. </t>
        </r>
      </text>
    </comment>
    <comment ref="AH25" authorId="0" shapeId="0" xr:uid="{48CCDC14-F544-4972-BEDF-9930185A4297}">
      <text>
        <r>
          <rPr>
            <sz val="9"/>
            <color indexed="81"/>
            <rFont val="Tahoma"/>
            <family val="2"/>
          </rPr>
          <t xml:space="preserve">Field Name: pwm_period_sel_x000D_
Access Mode:RW_x000D_
Description:PWM active period selection._x000D_
'0000': 128000 system clocks (7812.5us - 0.128KHz - Resolution 15 bits)._x000D_
'0001': 96000 system clocks (5859.375us - 0.170KHz - Resolution 15 bits)._x000D_
'0010': 64000 system clocks (3906.25us - 0.256KHz - Resolution 14 bits)._x000D_
'0011': 48000 system clocks (2929.6875us - 0.341KHz - Resolution 14 bits)._x000D_
'0100': 32000 system clocks (1953.125us - 0.512KHz - Resolution 13 bits)._x000D_
'0101': 24000 system clocks (1464.844us - 0.683KHz - Resolution 13 bits)._x000D_
'0110': 20000 system clocks (1220.703us - 0.819KHz - Resolution 13 bits)._x000D_
'0111': 16000 system clocks (976.5625us - 1.024KHz - Resolution 12 bits)._x000D_
'1000': 12000 system clocks (732.4219us - 1.365KHz - Resolution 12 bits)._x000D_
'1001': 10000 system clocks (610.3516us - 1.638KHz - Resolution 12 bits)._x000D_
'1010': 8000 system clocks (488.2813us - 2.048KHz - Resolution 11 bits)._x000D_
'1011': 6000 system clocks (366.2109us - 2.731KHz - Resolution 11 bits)._x000D_
'1100': 4000 system clocks (244.1406us - 4.096KHz - Resolution 10 bits)._x000D_
'1101': 3000 system clocks (183.1055us - 5.461KHz - Resolution 10 bits)._x000D_
'1110': 2000 system clocks (122.0703us - 8.192KHz - Resolution 9 bits)._x000D_
'1111': 1000 system clocks (61.0352us - 16384KHz - Resolution 8 bits). </t>
        </r>
      </text>
    </comment>
    <comment ref="D26" authorId="0" shapeId="0" xr:uid="{E5F9E8B7-5DF0-4F66-9E85-CF4B2106D881}">
      <text>
        <r>
          <rPr>
            <sz val="9"/>
            <color indexed="81"/>
            <rFont val="Tahoma"/>
            <family val="2"/>
          </rPr>
          <t>Write lock: "customer_eeprom_lock_wr"_x000D_
Read lock: "customer_eeprom_lock_rd"</t>
        </r>
      </text>
    </comment>
    <comment ref="F26" authorId="0" shapeId="0" xr:uid="{359A8205-D3E6-4951-AB0D-A0DE3E66E802}">
      <text>
        <r>
          <rPr>
            <sz val="9"/>
            <color indexed="81"/>
            <rFont val="Tahoma"/>
            <family val="2"/>
          </rPr>
          <t xml:space="preserve">Field Name: ecc_13_x000D_
Access Mode:RW_x000D_
Description:Error correction code. </t>
        </r>
      </text>
    </comment>
    <comment ref="L26" authorId="0" shapeId="0" xr:uid="{7BE99542-BA30-4A20-9789-D7C456CEF532}">
      <text>
        <r>
          <rPr>
            <sz val="9"/>
            <color indexed="81"/>
            <rFont val="Tahoma"/>
            <family val="2"/>
          </rPr>
          <t xml:space="preserve">Field Name: lin01_x000D_
Access Mode:RW_x000D_
Description:Linearization table entry 1. </t>
        </r>
      </text>
    </comment>
    <comment ref="Y26" authorId="0" shapeId="0" xr:uid="{527CDE66-7218-4E90-8B22-2264CFA8B3CD}">
      <text>
        <r>
          <rPr>
            <sz val="9"/>
            <color indexed="81"/>
            <rFont val="Tahoma"/>
            <family val="2"/>
          </rPr>
          <t xml:space="preserve">Field Name: lin00_x000D_
Access Mode:RW_x000D_
Description:Linearization table entry 0. </t>
        </r>
      </text>
    </comment>
    <comment ref="D27" authorId="0" shapeId="0" xr:uid="{ADDC9982-0F6E-4387-89E9-EBAD86DF57B5}">
      <text>
        <r>
          <rPr>
            <sz val="9"/>
            <color indexed="81"/>
            <rFont val="Tahoma"/>
            <family val="2"/>
          </rPr>
          <t>Write lock: "customer_eeprom_lock_wr"_x000D_
Read lock: "customer_eeprom_lock_rd"</t>
        </r>
      </text>
    </comment>
    <comment ref="F27" authorId="0" shapeId="0" xr:uid="{F7D03BD2-1C8F-4CC9-B153-BBD15C0564D3}">
      <text>
        <r>
          <rPr>
            <sz val="9"/>
            <color indexed="81"/>
            <rFont val="Tahoma"/>
            <family val="2"/>
          </rPr>
          <t xml:space="preserve">Field Name: ecc_14_x000D_
Access Mode:RW_x000D_
Description:Error correction code. </t>
        </r>
      </text>
    </comment>
    <comment ref="L27" authorId="0" shapeId="0" xr:uid="{6ACD9EFE-96BA-4262-B018-CB30F8AB3093}">
      <text>
        <r>
          <rPr>
            <sz val="9"/>
            <color indexed="81"/>
            <rFont val="Tahoma"/>
            <family val="2"/>
          </rPr>
          <t xml:space="preserve">Field Name: lin03_x000D_
Access Mode:RW_x000D_
Description:Linearization table entry 3. </t>
        </r>
      </text>
    </comment>
    <comment ref="Y27" authorId="0" shapeId="0" xr:uid="{2E759E95-A399-4485-9ADF-5B9D239A3A68}">
      <text>
        <r>
          <rPr>
            <sz val="9"/>
            <color indexed="81"/>
            <rFont val="Tahoma"/>
            <family val="2"/>
          </rPr>
          <t xml:space="preserve">Field Name: lin02_x000D_
Access Mode:RW_x000D_
Description:Linearization table entry 2. </t>
        </r>
      </text>
    </comment>
    <comment ref="D28" authorId="0" shapeId="0" xr:uid="{1F23946B-9CF1-4B7D-BDB2-AA2A10635FE4}">
      <text>
        <r>
          <rPr>
            <sz val="9"/>
            <color indexed="81"/>
            <rFont val="Tahoma"/>
            <family val="2"/>
          </rPr>
          <t>Write lock: "customer_eeprom_lock_wr"_x000D_
Read lock: "customer_eeprom_lock_rd"</t>
        </r>
      </text>
    </comment>
    <comment ref="F28" authorId="0" shapeId="0" xr:uid="{411CD5B3-230F-4CD8-AF20-86A17608ADB0}">
      <text>
        <r>
          <rPr>
            <sz val="9"/>
            <color indexed="81"/>
            <rFont val="Tahoma"/>
            <family val="2"/>
          </rPr>
          <t xml:space="preserve">Field Name: ecc_15_x000D_
Access Mode:RW_x000D_
Description:Error correction code. </t>
        </r>
      </text>
    </comment>
    <comment ref="L28" authorId="0" shapeId="0" xr:uid="{FE6EE792-A37B-49E0-80C9-105686800D92}">
      <text>
        <r>
          <rPr>
            <sz val="9"/>
            <color indexed="81"/>
            <rFont val="Tahoma"/>
            <family val="2"/>
          </rPr>
          <t xml:space="preserve">Field Name: lin05_x000D_
Access Mode:RW_x000D_
Description:Linearization table entry 5. </t>
        </r>
      </text>
    </comment>
    <comment ref="Y28" authorId="0" shapeId="0" xr:uid="{7BF99A93-B487-4C79-8E6C-03D535040CC3}">
      <text>
        <r>
          <rPr>
            <sz val="9"/>
            <color indexed="81"/>
            <rFont val="Tahoma"/>
            <family val="2"/>
          </rPr>
          <t xml:space="preserve">Field Name: lin04_x000D_
Access Mode:RW_x000D_
Description:Linearization table entry 4. </t>
        </r>
      </text>
    </comment>
    <comment ref="D29" authorId="0" shapeId="0" xr:uid="{E0E424CD-6A09-4E61-92F6-45433BCA6B07}">
      <text>
        <r>
          <rPr>
            <sz val="9"/>
            <color indexed="81"/>
            <rFont val="Tahoma"/>
            <family val="2"/>
          </rPr>
          <t>Write lock: "customer_eeprom_lock_wr"_x000D_
Read lock: "customer_eeprom_lock_rd"</t>
        </r>
      </text>
    </comment>
    <comment ref="F29" authorId="0" shapeId="0" xr:uid="{B0F22498-6022-49F8-9CB8-E6856E1A1D95}">
      <text>
        <r>
          <rPr>
            <sz val="9"/>
            <color indexed="81"/>
            <rFont val="Tahoma"/>
            <family val="2"/>
          </rPr>
          <t xml:space="preserve">Field Name: ecc_16_x000D_
Access Mode:RW_x000D_
Description:Error correction code. </t>
        </r>
      </text>
    </comment>
    <comment ref="L29" authorId="0" shapeId="0" xr:uid="{682AF0F1-A8F5-4B50-BF37-DB492D7E7C7F}">
      <text>
        <r>
          <rPr>
            <sz val="9"/>
            <color indexed="81"/>
            <rFont val="Tahoma"/>
            <family val="2"/>
          </rPr>
          <t xml:space="preserve">Field Name: lin07_x000D_
Access Mode:RW_x000D_
Description:Linearization table entry 7. </t>
        </r>
      </text>
    </comment>
    <comment ref="Y29" authorId="0" shapeId="0" xr:uid="{AC252913-C847-4861-8CD3-D636F8E18339}">
      <text>
        <r>
          <rPr>
            <sz val="9"/>
            <color indexed="81"/>
            <rFont val="Tahoma"/>
            <family val="2"/>
          </rPr>
          <t xml:space="preserve">Field Name: lin06_x000D_
Access Mode:RW_x000D_
Description:Linearization table entry 6. </t>
        </r>
      </text>
    </comment>
    <comment ref="D30" authorId="0" shapeId="0" xr:uid="{4A03E5DB-A08C-44E7-8F95-03D991C3E1D4}">
      <text>
        <r>
          <rPr>
            <sz val="9"/>
            <color indexed="81"/>
            <rFont val="Tahoma"/>
            <family val="2"/>
          </rPr>
          <t>Write lock: "customer_eeprom_lock_wr"_x000D_
Read lock: "customer_eeprom_lock_rd"</t>
        </r>
      </text>
    </comment>
    <comment ref="F30" authorId="0" shapeId="0" xr:uid="{E5B696BE-26D6-410D-B696-C84CBC200C4C}">
      <text>
        <r>
          <rPr>
            <sz val="9"/>
            <color indexed="81"/>
            <rFont val="Tahoma"/>
            <family val="2"/>
          </rPr>
          <t xml:space="preserve">Field Name: ecc_17_x000D_
Access Mode:RW_x000D_
Description:Error correction code. </t>
        </r>
      </text>
    </comment>
    <comment ref="L30" authorId="0" shapeId="0" xr:uid="{6B5D84C1-8BCC-4DFC-8AD3-232ABE1DAF7C}">
      <text>
        <r>
          <rPr>
            <sz val="9"/>
            <color indexed="81"/>
            <rFont val="Tahoma"/>
            <family val="2"/>
          </rPr>
          <t xml:space="preserve">Field Name: lin09_x000D_
Access Mode:RW_x000D_
Description:Linearization table entry 9. </t>
        </r>
      </text>
    </comment>
    <comment ref="Y30" authorId="0" shapeId="0" xr:uid="{704E0BD8-4A81-4855-933A-6A5665D73E16}">
      <text>
        <r>
          <rPr>
            <sz val="9"/>
            <color indexed="81"/>
            <rFont val="Tahoma"/>
            <family val="2"/>
          </rPr>
          <t xml:space="preserve">Field Name: lin08_x000D_
Access Mode:RW_x000D_
Description:Linearization table entry 8. </t>
        </r>
      </text>
    </comment>
    <comment ref="D31" authorId="0" shapeId="0" xr:uid="{2D8F5B3B-4A71-4CCE-A3B0-A366EB91FC7C}">
      <text>
        <r>
          <rPr>
            <sz val="9"/>
            <color indexed="81"/>
            <rFont val="Tahoma"/>
            <family val="2"/>
          </rPr>
          <t>Write lock: "customer_eeprom_lock_wr"_x000D_
Read lock: "customer_eeprom_lock_rd"</t>
        </r>
      </text>
    </comment>
    <comment ref="F31" authorId="0" shapeId="0" xr:uid="{63D64E4D-DCC7-420B-BFDB-FDAE814C4F38}">
      <text>
        <r>
          <rPr>
            <sz val="9"/>
            <color indexed="81"/>
            <rFont val="Tahoma"/>
            <family val="2"/>
          </rPr>
          <t xml:space="preserve">Field Name: ecc_18_x000D_
Access Mode:RW_x000D_
Description:Error correction code. </t>
        </r>
      </text>
    </comment>
    <comment ref="L31" authorId="0" shapeId="0" xr:uid="{4F84C210-C7F7-4B18-8B17-AD91754B5D35}">
      <text>
        <r>
          <rPr>
            <sz val="9"/>
            <color indexed="81"/>
            <rFont val="Tahoma"/>
            <family val="2"/>
          </rPr>
          <t xml:space="preserve">Field Name: lin11_x000D_
Access Mode:RW_x000D_
Description:Linearization table entry 11. </t>
        </r>
      </text>
    </comment>
    <comment ref="Y31" authorId="0" shapeId="0" xr:uid="{71F11FD6-A3AF-4734-8378-354CB318CD5B}">
      <text>
        <r>
          <rPr>
            <sz val="9"/>
            <color indexed="81"/>
            <rFont val="Tahoma"/>
            <family val="2"/>
          </rPr>
          <t xml:space="preserve">Field Name: lin10_x000D_
Access Mode:RW_x000D_
Description:Linearization table entry 10. </t>
        </r>
      </text>
    </comment>
    <comment ref="D32" authorId="0" shapeId="0" xr:uid="{EDF88E1D-7144-478C-855A-5DDEDFF51885}">
      <text>
        <r>
          <rPr>
            <sz val="9"/>
            <color indexed="81"/>
            <rFont val="Tahoma"/>
            <family val="2"/>
          </rPr>
          <t>Write lock: "customer_eeprom_lock_wr"_x000D_
Read lock: "customer_eeprom_lock_rd"</t>
        </r>
      </text>
    </comment>
    <comment ref="F32" authorId="0" shapeId="0" xr:uid="{B692E798-9C64-41AE-BCB9-F961BCC172B7}">
      <text>
        <r>
          <rPr>
            <sz val="9"/>
            <color indexed="81"/>
            <rFont val="Tahoma"/>
            <family val="2"/>
          </rPr>
          <t xml:space="preserve">Field Name: ecc_19_x000D_
Access Mode:RW_x000D_
Description:Error correction code. </t>
        </r>
      </text>
    </comment>
    <comment ref="L32" authorId="0" shapeId="0" xr:uid="{06CA4EBC-689B-4F0E-AC92-CB85A760E475}">
      <text>
        <r>
          <rPr>
            <sz val="9"/>
            <color indexed="81"/>
            <rFont val="Tahoma"/>
            <family val="2"/>
          </rPr>
          <t xml:space="preserve">Field Name: lin13_x000D_
Access Mode:RW_x000D_
Description:Linearization table entry 13. </t>
        </r>
      </text>
    </comment>
    <comment ref="Y32" authorId="0" shapeId="0" xr:uid="{89C907D3-24FD-43F4-9D36-D3467458B529}">
      <text>
        <r>
          <rPr>
            <sz val="9"/>
            <color indexed="81"/>
            <rFont val="Tahoma"/>
            <family val="2"/>
          </rPr>
          <t xml:space="preserve">Field Name: lin12_x000D_
Access Mode:RW_x000D_
Description:Linearization table entry 12. </t>
        </r>
      </text>
    </comment>
    <comment ref="D33" authorId="0" shapeId="0" xr:uid="{FEB47C93-4516-421B-8C76-A4AE5C3095EA}">
      <text>
        <r>
          <rPr>
            <sz val="9"/>
            <color indexed="81"/>
            <rFont val="Tahoma"/>
            <family val="2"/>
          </rPr>
          <t>Write lock: "customer_eeprom_lock_wr"_x000D_
Read lock: "customer_eeprom_lock_rd"</t>
        </r>
      </text>
    </comment>
    <comment ref="F33" authorId="0" shapeId="0" xr:uid="{2ACA8959-BA0F-40E5-A234-EA3AB3903B3B}">
      <text>
        <r>
          <rPr>
            <sz val="9"/>
            <color indexed="81"/>
            <rFont val="Tahoma"/>
            <family val="2"/>
          </rPr>
          <t xml:space="preserve">Field Name: ecc_1a_x000D_
Access Mode:RW_x000D_
Description:Error correction code. </t>
        </r>
      </text>
    </comment>
    <comment ref="L33" authorId="0" shapeId="0" xr:uid="{94EC0D1F-B64D-4666-88A2-293AB9E3CBC6}">
      <text>
        <r>
          <rPr>
            <sz val="9"/>
            <color indexed="81"/>
            <rFont val="Tahoma"/>
            <family val="2"/>
          </rPr>
          <t xml:space="preserve">Field Name: lin15_x000D_
Access Mode:RW_x000D_
Description:Linearization table entry 15. </t>
        </r>
      </text>
    </comment>
    <comment ref="Y33" authorId="0" shapeId="0" xr:uid="{493869B3-01C1-49B0-B8E3-6EAE22240D3A}">
      <text>
        <r>
          <rPr>
            <sz val="9"/>
            <color indexed="81"/>
            <rFont val="Tahoma"/>
            <family val="2"/>
          </rPr>
          <t xml:space="preserve">Field Name: lin14_x000D_
Access Mode:RW_x000D_
Description:Linearization table entry 14. </t>
        </r>
      </text>
    </comment>
    <comment ref="D34" authorId="0" shapeId="0" xr:uid="{55242360-7AB8-4366-BBE7-0F743A7CABE8}">
      <text>
        <r>
          <rPr>
            <sz val="9"/>
            <color indexed="81"/>
            <rFont val="Tahoma"/>
            <family val="2"/>
          </rPr>
          <t>Write lock: "customer_eeprom_lock_wr"_x000D_
Read lock: "customer_eeprom_lock_rd"</t>
        </r>
      </text>
    </comment>
    <comment ref="F34" authorId="0" shapeId="0" xr:uid="{AFE6C5DC-F199-4707-B109-D5F905C84211}">
      <text>
        <r>
          <rPr>
            <sz val="9"/>
            <color indexed="81"/>
            <rFont val="Tahoma"/>
            <family val="2"/>
          </rPr>
          <t xml:space="preserve">Field Name: ecc_1b_x000D_
Access Mode:RW_x000D_
Description:Error correction code. </t>
        </r>
      </text>
    </comment>
    <comment ref="O34" authorId="0" shapeId="0" xr:uid="{69D549AE-9057-4490-BE71-8CEF6399C849}">
      <text>
        <r>
          <rPr>
            <sz val="9"/>
            <color indexed="81"/>
            <rFont val="Tahoma"/>
            <family val="2"/>
          </rPr>
          <t xml:space="preserve">Field Name: fhss_e_x000D_
Access Mode:RW_x000D_
Description:When '1', frequency hopping spread spectrum is enabled. </t>
        </r>
      </text>
    </comment>
    <comment ref="P34" authorId="0" shapeId="0" xr:uid="{D83A6CFA-ACF7-404C-9726-190DC8A15436}">
      <text>
        <r>
          <rPr>
            <sz val="9"/>
            <color indexed="81"/>
            <rFont val="Tahoma"/>
            <family val="2"/>
          </rPr>
          <t xml:space="preserve">Field Name: coil_freq_x000D_
Access Mode:RW_x000D_
Description:Main coil frequency selection when fhss_e = '0'._x000D_
Secondary coil frequency selection during ABIST or trimming. _x000D_
'000': ???._x000D_
'001': ???._x000D_
'010': ???._x000D_
'011': ???._x000D_
'100': ???._x000D_
'101': ???._x000D_
'110': ???._x000D_
'111': ???. </t>
        </r>
      </text>
    </comment>
    <comment ref="S34" authorId="0" shapeId="0" xr:uid="{74C5FD97-41D7-4393-AEEF-9CB1ADE23E14}">
      <text>
        <r>
          <rPr>
            <sz val="9"/>
            <color indexed="81"/>
            <rFont val="Tahoma"/>
            <family val="2"/>
          </rPr>
          <t xml:space="preserve">Field Name: bw_sel_e_x000D_
Access Mode:RW_x000D_
Description:When '1', bandwidth selection filter is enabled. Otherwise, bypass it. </t>
        </r>
      </text>
    </comment>
    <comment ref="T34" authorId="0" shapeId="0" xr:uid="{F7D7F04B-5665-4BFB-B099-7355BFD8D148}">
      <text>
        <r>
          <rPr>
            <sz val="9"/>
            <color indexed="81"/>
            <rFont val="Tahoma"/>
            <family val="2"/>
          </rPr>
          <t xml:space="preserve">Field Name: bw_sel_x000D_
Access Mode:RW_x000D_
Description:Bandwidth selection._x000D_
'000': ._x000D_
'001': ._x000D_
'010': ._x000D_
'011': ._x000D_
'100': ._x000D_
'101': ._x000D_
'110': ._x000D_
'111': . </t>
        </r>
      </text>
    </comment>
    <comment ref="W34" authorId="0" shapeId="0" xr:uid="{73E4B6C5-457B-4E4D-AF99-D60694646DF4}">
      <text>
        <r>
          <rPr>
            <sz val="9"/>
            <color indexed="81"/>
            <rFont val="Tahoma"/>
            <family val="2"/>
          </rPr>
          <t xml:space="preserve">Field Name: lin_bin_x000D_
Access Mode:RW_x000D_
Description:Enable bin mode for linearization table. </t>
        </r>
      </text>
    </comment>
    <comment ref="X34" authorId="0" shapeId="0" xr:uid="{C3951E42-36D1-4AE7-9FFA-8575C197EDD9}">
      <text>
        <r>
          <rPr>
            <sz val="9"/>
            <color indexed="81"/>
            <rFont val="Tahoma"/>
            <family val="2"/>
          </rPr>
          <t xml:space="preserve">Field Name: lin_e_x000D_
Access Mode:RW_x000D_
Description:When '1', linearization table is enabled. Otherwise, it is bypassed. </t>
        </r>
      </text>
    </comment>
    <comment ref="Y34" authorId="0" shapeId="0" xr:uid="{3188BDB8-B0BC-45FA-B130-D197F84B0664}">
      <text>
        <r>
          <rPr>
            <sz val="9"/>
            <color indexed="81"/>
            <rFont val="Tahoma"/>
            <family val="2"/>
          </rPr>
          <t xml:space="preserve">Field Name: lin16_x000D_
Access Mode:RW_x000D_
Description:Linearization table entry 16. </t>
        </r>
      </text>
    </comment>
    <comment ref="D35" authorId="0" shapeId="0" xr:uid="{54D49350-D389-4A49-9D54-0E6D2BFE89DD}">
      <text>
        <r>
          <rPr>
            <sz val="9"/>
            <color indexed="81"/>
            <rFont val="Tahoma"/>
            <family val="2"/>
          </rPr>
          <t>Write lock: "customer_eeprom_lock_wr"_x000D_
Read lock: "customer_eeprom_lock_rd"</t>
        </r>
      </text>
    </comment>
    <comment ref="F35" authorId="0" shapeId="0" xr:uid="{3CC7C13D-6947-4B97-9A19-C53DFBF91CF7}">
      <text>
        <r>
          <rPr>
            <sz val="9"/>
            <color indexed="81"/>
            <rFont val="Tahoma"/>
            <family val="2"/>
          </rPr>
          <t xml:space="preserve">Field Name: ecc_1c_x000D_
Access Mode:RW_x000D_
Description:Error correction code. </t>
        </r>
      </text>
    </comment>
    <comment ref="L35" authorId="0" shapeId="0" xr:uid="{AB83CC36-D58B-40BE-8F63-40396E9A0FE6}">
      <text>
        <r>
          <rPr>
            <sz val="9"/>
            <color indexed="81"/>
            <rFont val="Tahoma"/>
            <family val="2"/>
          </rPr>
          <t xml:space="preserve">Field Name: offset_x000D_
Access Mode:RW_x000D_
Description:Offset correction (two's complement from -8192 to +8191) </t>
        </r>
      </text>
    </comment>
    <comment ref="Z35" authorId="0" shapeId="0" xr:uid="{FB4B6453-D58A-4EDC-BC52-5FA2824D89F5}">
      <text>
        <r>
          <rPr>
            <sz val="9"/>
            <color indexed="81"/>
            <rFont val="Tahoma"/>
            <family val="2"/>
          </rPr>
          <t xml:space="preserve">Field Name: gain_coarse_x000D_
Access Mode:RW_x000D_
Description:Coarse gain selection._x000D_
0: coarse_gain = 1_x000D_
1: coarse_gain = 2_x000D_
2: coarse_gain = 4_x000D_
3: coarse_gain = 8_x000D_
4: coarse_gain = 16_x000D_
5-7: coarse_gain = 32 </t>
        </r>
      </text>
    </comment>
    <comment ref="AC35" authorId="0" shapeId="0" xr:uid="{890F6ACB-6A96-4EB0-8364-05A362BC3C75}">
      <text>
        <r>
          <rPr>
            <sz val="9"/>
            <color indexed="81"/>
            <rFont val="Tahoma"/>
            <family val="2"/>
          </rPr>
          <t xml:space="preserve">Field Name: gain_fine_x000D_
Access Mode:RW_x000D_
Description:Fine gain selection (two's complement, from 0 to +511). </t>
        </r>
      </text>
    </comment>
    <comment ref="D36" authorId="0" shapeId="0" xr:uid="{806F7A74-051B-47B2-ABB8-ABC98096CC25}">
      <text>
        <r>
          <rPr>
            <sz val="9"/>
            <color indexed="81"/>
            <rFont val="Tahoma"/>
            <family val="2"/>
          </rPr>
          <t>Write lock: "customer_eeprom_lock_wr"_x000D_
Read lock: "customer_eeprom_lock_rd"</t>
        </r>
      </text>
    </comment>
    <comment ref="F36" authorId="0" shapeId="0" xr:uid="{15E1F1B6-776E-44B6-8E44-AAD26B3F0FB0}">
      <text>
        <r>
          <rPr>
            <sz val="9"/>
            <color indexed="81"/>
            <rFont val="Tahoma"/>
            <family val="2"/>
          </rPr>
          <t xml:space="preserve">Field Name: ecc_1d_x000D_
Access Mode:RW_x000D_
Description:Error correction code. </t>
        </r>
      </text>
    </comment>
    <comment ref="M36" authorId="0" shapeId="0" xr:uid="{AA5D3508-C59B-4CDD-BB7A-965B5CF3C9CA}">
      <text>
        <r>
          <rPr>
            <sz val="9"/>
            <color indexed="81"/>
            <rFont val="Tahoma"/>
            <family val="2"/>
          </rPr>
          <t xml:space="preserve">Field Name: clamp_e_x000D_
Access Mode:RW_x000D_
Description:When '1', output clamper is enabled. </t>
        </r>
      </text>
    </comment>
    <comment ref="N36" authorId="0" shapeId="0" xr:uid="{1E6F17CF-58F6-4E70-B8BE-67A2E39BC732}">
      <text>
        <r>
          <rPr>
            <sz val="9"/>
            <color indexed="81"/>
            <rFont val="Tahoma"/>
            <family val="2"/>
          </rPr>
          <t xml:space="preserve">Field Name: clamp_h_x000D_
Access Mode:RW_x000D_
Description:High clamper. </t>
        </r>
      </text>
    </comment>
    <comment ref="Z36" authorId="0" shapeId="0" xr:uid="{CA3D6D75-BAE9-4320-BA2D-B2C4D6536535}">
      <text>
        <r>
          <rPr>
            <sz val="9"/>
            <color indexed="81"/>
            <rFont val="Tahoma"/>
            <family val="2"/>
          </rPr>
          <t xml:space="preserve">Field Name: clamp_l_x000D_
Access Mode:RW_x000D_
Description:Low clamper. </t>
        </r>
      </text>
    </comment>
    <comment ref="D37" authorId="0" shapeId="0" xr:uid="{5789D91E-3EB1-4AE5-8E12-B5B3DAC82937}">
      <text>
        <r>
          <rPr>
            <sz val="9"/>
            <color indexed="81"/>
            <rFont val="Tahoma"/>
            <family val="2"/>
          </rPr>
          <t>Write lock: "customer_eeprom_lock_wr"_x000D_
Read lock: "customer_eeprom_lock_rd"</t>
        </r>
      </text>
    </comment>
    <comment ref="F37" authorId="0" shapeId="0" xr:uid="{4F9C61B2-9198-4E07-B7AB-D0F840E53EB1}">
      <text>
        <r>
          <rPr>
            <sz val="9"/>
            <color indexed="81"/>
            <rFont val="Tahoma"/>
            <family val="2"/>
          </rPr>
          <t xml:space="preserve">Field Name: ecc_1e_x000D_
Access Mode:RW_x000D_
Description:Error correction code. </t>
        </r>
      </text>
    </comment>
    <comment ref="R37" authorId="0" shapeId="0" xr:uid="{4D097BCF-CFBB-4566-BFB7-F4F9C2722ACB}">
      <text>
        <r>
          <rPr>
            <sz val="9"/>
            <color indexed="81"/>
            <rFont val="Tahoma"/>
            <family val="2"/>
          </rPr>
          <t xml:space="preserve">Field Name: coil_ovcur_e_x000D_
Access Mode:RW_x000D_
Description:When '1', main coil over current detection is enabled. </t>
        </r>
      </text>
    </comment>
    <comment ref="S37" authorId="0" shapeId="0" xr:uid="{60A8B1EC-BEB9-483D-9FB8-318BF25A0F5E}">
      <text>
        <r>
          <rPr>
            <sz val="9"/>
            <color indexed="81"/>
            <rFont val="Tahoma"/>
            <family val="2"/>
          </rPr>
          <t xml:space="preserve">Field Name: status_0_msk_x000D_
Access Mode:RW_x000D_
Description:Status 0 register mask. When '1', the associated error is disabled._x000D_
[11]: sup_uv error._x000D_
[12]: sup_ov error._x000D_
[13]: a_sup_hv error._x000D_
[14]: a_coil_current_ov error._x000D_
[15]: Reg map error._x000D_
[16]: V1 - V2 out of range error._x000D_
[17]: V1/V2 (secondary coil) out of range error._x000D_
[18]: Digital signal path error. </t>
        </r>
      </text>
    </comment>
    <comment ref="AA37" authorId="0" shapeId="0" xr:uid="{7241C5BD-AAD2-434F-8007-E90ABE4D62F2}">
      <text>
        <r>
          <rPr>
            <sz val="9"/>
            <color indexed="81"/>
            <rFont val="Tahoma"/>
            <family val="2"/>
          </rPr>
          <t xml:space="preserve">Field Name: diag_mode_x000D_
Access Mode:RW_x000D_
Description:When '1', any unmasked error will set the output to high-Z._x000D_
If LBIST was run, LBIST message is always transmitted prior to setting the output to high-Z. </t>
        </r>
      </text>
    </comment>
    <comment ref="AB37" authorId="0" shapeId="0" xr:uid="{2AC4B946-3234-491F-8492-E87B322F1DCB}">
      <text>
        <r>
          <rPr>
            <sz val="9"/>
            <color indexed="81"/>
            <rFont val="Tahoma"/>
            <family val="2"/>
          </rPr>
          <t xml:space="preserve">Field Name: abist_ack_x000D_
Access Mode:RW_x000D_
Description:ABIST acknowledge enable. </t>
        </r>
      </text>
    </comment>
    <comment ref="AC37" authorId="0" shapeId="0" xr:uid="{B8D39CC4-6FFA-4671-8C6A-F119EF677ED9}">
      <text>
        <r>
          <rPr>
            <sz val="9"/>
            <color indexed="81"/>
            <rFont val="Tahoma"/>
            <family val="2"/>
          </rPr>
          <t xml:space="preserve">Field Name: lbist_ack_x000D_
Access Mode:RW_x000D_
Description:LBIST acknowledge enable. </t>
        </r>
      </text>
    </comment>
    <comment ref="AD37" authorId="0" shapeId="0" xr:uid="{1437CE98-68E4-48BD-9A5F-BB866C783D14}">
      <text>
        <r>
          <rPr>
            <sz val="9"/>
            <color indexed="81"/>
            <rFont val="Tahoma"/>
            <family val="2"/>
          </rPr>
          <t xml:space="preserve">Field Name: abist_e_x000D_
Access Mode:RW_x000D_
Description:ABIST enable configuration:_x000D_
\s\s\s00 - Disabled._x000D_
\s\s\s01 - Power on._x000D_
\s\s\s10 - User requested._x000D_
\s\s\s11 - Both._x000D_
(User requested can be either customer, factory or open depending where is placed bist_start volatile field). </t>
        </r>
      </text>
    </comment>
    <comment ref="AF37" authorId="0" shapeId="0" xr:uid="{F2470900-D093-489B-ACAB-DEB6FA441B73}">
      <text>
        <r>
          <rPr>
            <sz val="9"/>
            <color indexed="81"/>
            <rFont val="Tahoma"/>
            <family val="2"/>
          </rPr>
          <t xml:space="preserve">Field Name: lbist_e_x000D_
Access Mode:RW_x000D_
Description:LBIST enable configuration:_x000D_
\s\s\s00 - Disabled._x000D_
\s\s\s01 - Power on._x000D_
\s\s\s10 - User requested._x000D_
\s\s\s11 - Both._x000D_
(User requested can be either customer, factory or open depending where is placed bist_start volatile field). </t>
        </r>
      </text>
    </comment>
    <comment ref="AH37" authorId="0" shapeId="0" xr:uid="{7640EAFA-F1E3-4774-879B-1D4E280284EC}">
      <text>
        <r>
          <rPr>
            <sz val="9"/>
            <color indexed="81"/>
            <rFont val="Tahoma"/>
            <family val="2"/>
          </rPr>
          <t xml:space="preserve">Field Name: mem_lock_x000D_
Access Mode:RW_x000D_
Description:'0011': EEPROM Lock: Prevents writes to EEPROM but all registers including shadow can be written. All registers and EEPROM can be read._x000D_
'0110': Write Lock: Prevents writing anything to either EEPROM or registers. All registers and EEPROM can still be read._x000D_
'1100': Full Lock: Prevents all access to the device. </t>
        </r>
      </text>
    </comment>
    <comment ref="D38" authorId="0" shapeId="0" xr:uid="{FB08CF5D-6832-431A-BE9A-0CE4E4D21DCE}">
      <text>
        <r>
          <rPr>
            <sz val="9"/>
            <color indexed="81"/>
            <rFont val="Tahoma"/>
            <family val="2"/>
          </rPr>
          <t>Write lock: "customer_eeprom_lock_wr"_x000D_
Read lock: "customer_eeprom_lock_rd"</t>
        </r>
      </text>
    </comment>
    <comment ref="F38" authorId="0" shapeId="0" xr:uid="{1656FE70-4737-4709-90C5-F8273152DCA6}">
      <text>
        <r>
          <rPr>
            <sz val="9"/>
            <color indexed="81"/>
            <rFont val="Tahoma"/>
            <family val="2"/>
          </rPr>
          <t xml:space="preserve">Field Name: ecc_1f_x000D_
Access Mode:RW_x000D_
Description:Error correction code. </t>
        </r>
      </text>
    </comment>
    <comment ref="N38" authorId="0" shapeId="0" xr:uid="{A89448C7-FD39-4E5C-A2DD-425FCED2B411}">
      <text>
        <r>
          <rPr>
            <sz val="9"/>
            <color indexed="81"/>
            <rFont val="Tahoma"/>
            <family val="2"/>
          </rPr>
          <t xml:space="preserve">Field Name: cust_word_x000D_
Access Mode:RW_x000D_
Description:Customer reserved word. </t>
        </r>
      </text>
    </comment>
    <comment ref="D43" authorId="0" shapeId="0" xr:uid="{4F9CF0C0-EC7B-4527-94A3-1F30F81628D2}">
      <text>
        <r>
          <rPr>
            <sz val="9"/>
            <color indexed="81"/>
            <rFont val="Tahoma"/>
            <family val="2"/>
          </rPr>
          <t>Write lock: "factory_register_lock_wr"_x000D_
Read lock: "customer_register_lock_rd"</t>
        </r>
      </text>
    </comment>
    <comment ref="T43" authorId="0" shapeId="0" xr:uid="{82A0CA52-6DB4-43FA-BC4E-E0EB5296EA1F}">
      <text>
        <r>
          <rPr>
            <sz val="9"/>
            <color indexed="81"/>
            <rFont val="Tahoma"/>
            <family val="2"/>
          </rPr>
          <t>Field Name: sup_det_test_e_x000D_
Access Mode:RW_x000D_
Description:Enter supply detect mode.  Drive output to a fixed state based on VCC._x000D_
 {hdl_path u_dig_top.u_dft_wrapper.u_scan_wrapper.u_functional_top.u_ids_top.u_direct_regmap.shadow_shadow_4_sup_det_test_e_q}</t>
        </r>
      </text>
    </comment>
    <comment ref="U43" authorId="0" shapeId="0" xr:uid="{D68F658A-9BCD-4CC3-A60E-0C454A4D6338}">
      <text>
        <r>
          <rPr>
            <sz val="9"/>
            <color indexed="81"/>
            <rFont val="Tahoma"/>
            <family val="2"/>
          </rPr>
          <t>Field Name: d_sup_uv_sel_x000D_
Access Mode:RW_x000D_
Description:UV threshold trimming._x000D_
'00': Threshold is set to 4.2 V._x000D_
'01': Threshold is set to 4.1 V._x000D_
'10': Threshold is set to 4.3 V._x000D_
'11': Threshold is set to 4.4 V._x000D_
_x000D_
_x000D_
 {output_coupling true} {scan_val 0} {hdl_path u_dig_top.u_dft_wrapper.u_scan_wrapper.u_functional_top.u_ids_top.u_direct_regmap.shadow_shadow_4_d_sup_uv_sel_q}</t>
        </r>
      </text>
    </comment>
    <comment ref="W43" authorId="0" shapeId="0" xr:uid="{5F38D044-5797-42DD-985D-81BF882E8EFD}">
      <text>
        <r>
          <rPr>
            <sz val="9"/>
            <color indexed="81"/>
            <rFont val="Tahoma"/>
            <family val="2"/>
          </rPr>
          <t>Field Name: d_sup_ov_sel_x000D_
Access Mode:RW_x000D_
Description:OV threshold trimming._x000D_
'00': Threshold is set to 7 V._x000D_
'01': Threshold is set to 6.5 V._x000D_
'10': Threshold is set to 7.5 V._x000D_
'11': Threshold is set to 8 V._x000D_
_x000D_
_x000D_
 {output_coupling true} {scan_val 0} {hdl_path u_dig_top.u_dft_wrapper.u_scan_wrapper.u_functional_top.u_ids_top.u_direct_regmap.shadow_shadow_4_d_sup_ov_sel_q}</t>
        </r>
      </text>
    </comment>
    <comment ref="Y43" authorId="0" shapeId="0" xr:uid="{579CA760-3380-412A-A47B-0F079883EC95}">
      <text>
        <r>
          <rPr>
            <sz val="9"/>
            <color indexed="81"/>
            <rFont val="Tahoma"/>
            <family val="2"/>
          </rPr>
          <t>Field Name: d_sup_hv_sel_x000D_
Access Mode:RW_x000D_
Description:HV threshold trimming._x000D_
'00': Threshold is set to 16 V._x000D_
'01': Threshold is set to 15 V._x000D_
'10': Threshold is set to 14 V._x000D_
'11': Threshold is set to 13 V._x000D_
_x000D_
_x000D_
 {output_coupling true} {scan_val 0} {hdl_path u_dig_top.u_dft_wrapper.u_scan_wrapper.u_functional_top.u_ids_top.u_direct_regmap.shadow_shadow_4_d_sup_hv_sel_q}</t>
        </r>
      </text>
    </comment>
    <comment ref="AA43" authorId="0" shapeId="0" xr:uid="{EE0DA4D6-7018-4063-92FC-F761E8C5EDDD}">
      <text>
        <r>
          <rPr>
            <sz val="9"/>
            <color indexed="81"/>
            <rFont val="Tahoma"/>
            <family val="2"/>
          </rPr>
          <t>Field Name: d_sup_por_sel_x000D_
Access Mode:RW_x000D_
Description:POR threshold trimming._x000D_
'00': Threshold is set to 3.7 V._x000D_
'01': Threshold is set to 3.6 V._x000D_
'10': Threshold is set to 3.8 V._x000D_
'11': Threshold is set to 3.9 V._x000D_
_x000D_
_x000D_
 {registered false} {trimming true} {hdl_path u_dig_top.u_trim_mngr_d_sup_por_sel.trim_data_ltch}</t>
        </r>
      </text>
    </comment>
    <comment ref="AC43" authorId="0" shapeId="0" xr:uid="{F0F51012-F7FF-4525-95DC-62574ABDA647}">
      <text>
        <r>
          <rPr>
            <sz val="9"/>
            <color indexed="81"/>
            <rFont val="Tahoma"/>
            <family val="2"/>
          </rPr>
          <t>Field Name: d_osc_half_x000D_
Access Mode:RW_x000D_
Description:When '1', the oscillator internally runs at half frequency but its output is always 16MHz nominal._x000D_
_x000D_
_x000D_
 {registered false} {trimming true} {hdl_path u_dig_top.u_trim_mngr_d_osc_half.trim_data_ltch}</t>
        </r>
      </text>
    </comment>
    <comment ref="AD43" authorId="0" shapeId="0" xr:uid="{388F297A-AA47-4587-9DEF-DD26205477D7}">
      <text>
        <r>
          <rPr>
            <sz val="9"/>
            <color indexed="81"/>
            <rFont val="Tahoma"/>
            <family val="2"/>
          </rPr>
          <t>Field Name: d_osc_trim_x000D_
Access Mode:RW_x000D_
Description:Oscillator trimming during POR data._x000D_
'0000': Nominal freq is set to mean val = 32 MHz._x000D_
'0111': Nominal freq is set to max val = 38.7 MHz_x000D_
'1111': Nominal freq is set to min val = 23.3 MHz._x000D_
LSB step = 1MHz._x000D_
_x000D_
_x000D_
 {registered false} {trimming true} {hdl_path u_dig_top.u_trim_mngr_d_osc_trim.trim_data_ltch}</t>
        </r>
      </text>
    </comment>
    <comment ref="AH43" authorId="0" shapeId="0" xr:uid="{A49FEB52-B39B-4423-8589-52E275F8BD2B}">
      <text>
        <r>
          <rPr>
            <sz val="9"/>
            <color indexed="81"/>
            <rFont val="Tahoma"/>
            <family val="2"/>
          </rPr>
          <t>Field Name: d_ibias_trim_x000D_
Access Mode:RW_x000D_
Description:Bias current trimming during POR data._x000D_
'0000': Nominal current is set to mean val = 5uA._x000D_
'1111': Nominal current is set to min val = 6.6uA._x000D_
'0111': Nominal current is set to max val = 3.18uA._x000D_
LSB step = 228nA._x000D_
_x000D_
_x000D_
 {registered false} {trimming true} {hdl_path u_dig_top.u_trim_mngr_d_ibias_trim.trim_data_ltch}</t>
        </r>
      </text>
    </comment>
    <comment ref="D44" authorId="0" shapeId="0" xr:uid="{18E4DD0F-8569-4423-AC55-4DFAEFD0DC25}">
      <text>
        <r>
          <rPr>
            <sz val="9"/>
            <color indexed="81"/>
            <rFont val="Tahoma"/>
            <family val="2"/>
          </rPr>
          <t>Write lock: "factory_register_lock_wr"_x000D_
Read lock: "customer_register_lock_rd"</t>
        </r>
      </text>
    </comment>
    <comment ref="U44" authorId="0" shapeId="0" xr:uid="{0CC7534A-A44E-4D13-BBB0-631A77D16A0A}">
      <text>
        <r>
          <rPr>
            <sz val="9"/>
            <color indexed="81"/>
            <rFont val="Tahoma"/>
            <family val="2"/>
          </rPr>
          <t>Field Name: status_1_msk_x000D_
Access Mode:RW_x000D_
Description:Status 1 register mask. When '1', the associated error is disabled._x000D_
[16]: Mask for sl_v1_m_v2_oor_hi andsl_v1_m_v2_oor_lo._x000D_
[15]: Mask for sl_v1_div_v2_oor_hi and sl_v1_div_v2_oor_lo._x000D_
[14]: Mask for sl_kalman_p_oor_hi and sl_kalman_p_oor_lo._x000D_
[13]: Mask for sl_rrl_int1_oor_hi and sl_rrl_int1_oor_lo._x000D_
[12]: Mask for sl_rrl_int2_oor_hi and sl_rrl_int2_oor_lo._x000D_
[11]: Mask for sl_bwsel_oor_hi and sl_bwsel_oor_lo._x000D_
[10]: Mask for sl_div_by_zero._x000D_
[9]: Mask for sl_rrl_cic21_oor_hi and sl_rrl_cic21_oor_hi._x000D_
[8]: Mask for sl_rrl_cic22_oor_hi and sl_rrl_cic22_oor_lo._x000D_
[7]: Mask for sl_p_oor_hi._x000D_
[6]: Mask for sl_p_sec_oor_hi._x000D_
[5]: Mask for sl_linearization_oor_hi and sl_linearization_oor_lo._x000D_
[4]: Mask for sl_clmp_oor_hi and sl_clmp_oor_lo._x000D_
[3]: Mask for sl_rrl_cic11_oor_hi and sl_rrl_cic11_oor_lo._x000D_
[2]: Mask for sl_rrl_cic12_oor_hi and sl_rrl_cic12_oor_lo._x000D_
[1]: Mask for sl_cic41_sign_error and sl_cic42_sign_error._x000D_
[0]: Mask sl_v1_m_v2_sign_error._x000D_
 {hdl_path status_1_msk_q}</t>
        </r>
      </text>
    </comment>
    <comment ref="D45" authorId="0" shapeId="0" xr:uid="{048C3F6F-BA23-4927-A514-D7A3EAD96D1B}">
      <text>
        <r>
          <rPr>
            <sz val="9"/>
            <color indexed="81"/>
            <rFont val="Tahoma"/>
            <family val="2"/>
          </rPr>
          <t>Write lock: "factory_register_lock_wr"_x000D_
Read lock: "customer_register_lock_rd"</t>
        </r>
      </text>
    </comment>
    <comment ref="L45" authorId="0" shapeId="0" xr:uid="{E88F7BDC-3EB5-4E9D-8A2D-C88DFB8CBE86}">
      <text>
        <r>
          <rPr>
            <sz val="9"/>
            <color indexed="81"/>
            <rFont val="Tahoma"/>
            <family val="2"/>
          </rPr>
          <t>Field Name: sh_fill_me_6_x000D_
Access Mode:RW_x000D_
Description:Reserved for spare purposes._x000D_
 {hdl_path sh_fill_me_6_q}</t>
        </r>
      </text>
    </comment>
    <comment ref="D46" authorId="0" shapeId="0" xr:uid="{A9246DA8-948F-47EF-87F9-2E7FCCFE09C4}">
      <text>
        <r>
          <rPr>
            <sz val="9"/>
            <color indexed="81"/>
            <rFont val="Tahoma"/>
            <family val="2"/>
          </rPr>
          <t>Write lock: "factory_register_lock_wr"_x000D_
Read lock: "customer_register_lock_rd"</t>
        </r>
      </text>
    </comment>
    <comment ref="M46" authorId="0" shapeId="0" xr:uid="{64F111D6-21ED-4BDF-9AFC-29AD3AF0F169}">
      <text>
        <r>
          <rPr>
            <sz val="9"/>
            <color indexed="81"/>
            <rFont val="Tahoma"/>
            <family val="2"/>
          </rPr>
          <t>Field Name: d_iscoil_trim_x000D_
Access Mode:RW_x000D_
Description:Secondary coil current trimming._x000D_
'00': Nominal value (200uA)._x000D_
'01': +40%_x000D_
'10': -50%_x000D_
'11': -10%_x000D_
_x000D_
_x000D_
 {hdl_path d_iscoil_trim_q} {output_coupling true} {scan_val 0}</t>
        </r>
      </text>
    </comment>
    <comment ref="O46" authorId="0" shapeId="0" xr:uid="{5EC6D368-F2BB-4866-B21D-1FE9886961FB}">
      <text>
        <r>
          <rPr>
            <sz val="9"/>
            <color indexed="81"/>
            <rFont val="Tahoma"/>
            <family val="2"/>
          </rPr>
          <t>Field Name: d_mcoil_dly_x000D_
Access Mode:RW_x000D_
Description:Main coil clock delay._x000D_
_x000D_
_x000D_
 {hdl_path d_mcoil_dly_q} {output_coupling true} {scan_val 0}</t>
        </r>
      </text>
    </comment>
    <comment ref="S46" authorId="0" shapeId="0" xr:uid="{F4F600C2-AC6A-4DE7-9B4F-4A53861B66F4}">
      <text>
        <r>
          <rPr>
            <sz val="9"/>
            <color indexed="81"/>
            <rFont val="Tahoma"/>
            <family val="2"/>
          </rPr>
          <t>Field Name: d_sum_channels_x000D_
Access Mode:RW_x000D_
Description:When '1', channels are added/subtracted in the analog domain instead of the digital one._x000D_
_x000D_
_x000D_
 {hdl_path d_sum_channels_q} {output_coupling true} {scan_val 0}</t>
        </r>
      </text>
    </comment>
    <comment ref="T46" authorId="0" shapeId="0" xr:uid="{694B4F8E-4FA7-44B2-893D-D3AE6D4827B2}">
      <text>
        <r>
          <rPr>
            <sz val="9"/>
            <color indexed="81"/>
            <rFont val="Tahoma"/>
            <family val="2"/>
          </rPr>
          <t>Field Name: d_offset_coarse_e_x000D_
Access Mode:RW_x000D_
Description:When '1', the coarse offset DAC is enabled._x000D_
_x000D_
_x000D_
 {hdl_path d_offset_coarse_e_q} {output_coupling true} {scan_val 0}</t>
        </r>
      </text>
    </comment>
    <comment ref="U46" authorId="0" shapeId="0" xr:uid="{90DCF5A0-5CFF-4E08-9DC3-B2F5C3881CF7}">
      <text>
        <r>
          <rPr>
            <sz val="9"/>
            <color indexed="81"/>
            <rFont val="Tahoma"/>
            <family val="2"/>
          </rPr>
          <t>Field Name: d_offset_coarse_pol_x000D_
Access Mode:RW_x000D_
Description:'0' is negative offset, '1' is positive offset._x000D_
_x000D_
_x000D_
 {hdl_path d_offset_coarse_pol_q} {output_coupling true} {scan_val 0}</t>
        </r>
      </text>
    </comment>
    <comment ref="V46" authorId="0" shapeId="0" xr:uid="{E1EFE185-FCEE-47A4-B614-5A1E13FE2FFF}">
      <text>
        <r>
          <rPr>
            <sz val="9"/>
            <color indexed="81"/>
            <rFont val="Tahoma"/>
            <family val="2"/>
          </rPr>
          <t>Field Name: d_offset_coarse_x000D_
Access Mode:RW_x000D_
Description:Coarse adjust of differential offset for each channel for unidirectional mode-like operation._x000D_
'111': Voffset magnitude is set to min val = 250mV._x000D_
'000': Voffset magnitude is set to max val = 2V._x000D_
LSB step = 250mV._x000D_
_x000D_
_x000D_
 {hdl_path d_offset_coarse_q} {output_coupling true} {scan_val 0}</t>
        </r>
      </text>
    </comment>
    <comment ref="Y46" authorId="0" shapeId="0" xr:uid="{5A9A81F7-87B9-4408-A6C5-8C7EA4DFD75B}">
      <text>
        <r>
          <rPr>
            <sz val="9"/>
            <color indexed="81"/>
            <rFont val="Tahoma"/>
            <family val="2"/>
          </rPr>
          <t>Field Name: d_rrl_e_x000D_
Access Mode:RW_x000D_
Description:When '1', RRLs are enabled for both channels._x000D_
_x000D_
_x000D_
 {hdl_path d_rrl_e_q} {output_coupling true} {scan_val 0}</t>
        </r>
      </text>
    </comment>
    <comment ref="Z46" authorId="0" shapeId="0" xr:uid="{F14CD952-C99F-470D-90E8-EA9611081AC6}">
      <text>
        <r>
          <rPr>
            <sz val="9"/>
            <color indexed="81"/>
            <rFont val="Tahoma"/>
            <family val="2"/>
          </rPr>
          <t>Field Name: d_sdm_clk_half_x000D_
Access Mode:RW_x000D_
Description:Bit to set CTSDM at 8MHz instead of 16MHz (default). Analog uses it as an input to adapt the RCs in the modulator. Digital changes the SDM to 8MHz._x000D_
_x000D_
_x000D_
 {hdl_path d_sdm_clk_half_q} {output_coupling true} {scan_val 0}</t>
        </r>
      </text>
    </comment>
    <comment ref="AA46" authorId="0" shapeId="0" xr:uid="{F6022AD4-9A73-4441-A2F1-DC24E6D1E4A4}">
      <text>
        <r>
          <rPr>
            <sz val="9"/>
            <color indexed="81"/>
            <rFont val="Tahoma"/>
            <family val="2"/>
          </rPr>
          <t>Field Name: d_vcoil_trim_x000D_
Access Mode:RW_x000D_
Description:Fine trimming of Vcoil to set the coil current level._x000D_
'0000': Vcoil is set to min val = 2.3 V._x000D_
'1111': Vcoil is set to max val = 3.2375 V._x000D_
LSB step = 62.5 mV._x000D_
_x000D_
_x000D_
 {hdl_path d_vcoil_trim_q} {output_coupling true} {scan_val 0}</t>
        </r>
      </text>
    </comment>
    <comment ref="AE46" authorId="0" shapeId="0" xr:uid="{DA78599E-32FD-46DA-9CF5-F84D341EFD52}">
      <text>
        <r>
          <rPr>
            <sz val="9"/>
            <color indexed="81"/>
            <rFont val="Tahoma"/>
            <family val="2"/>
          </rPr>
          <t>Field Name: d_sdm_chop_e_x000D_
Access Mode:RW_x000D_
Description:When '1', the Sigma-Delta modulator chopper is enabled._x000D_
_x000D_
_x000D_
 {hdl_path d_sdm_chop_e_q} {output_coupling true} {scan_val 0}</t>
        </r>
      </text>
    </comment>
    <comment ref="AF46" authorId="0" shapeId="0" xr:uid="{D842B855-8C21-4681-9AFA-54ECA2A0DF43}">
      <text>
        <r>
          <rPr>
            <sz val="9"/>
            <color indexed="81"/>
            <rFont val="Tahoma"/>
            <family val="2"/>
          </rPr>
          <t>Field Name: d_afe1_gain_x000D_
Access Mode:RW_x000D_
Description:AFE 1 Gain selection._x000D_
'0': Gain set to 12x._x000D_
'1': Gain set to 6x._x000D_
_x000D_
_x000D_
 {hdl_path d_afe1_gain_q} {output_coupling true} {scan_val 0}</t>
        </r>
      </text>
    </comment>
    <comment ref="AG46" authorId="0" shapeId="0" xr:uid="{41407EFA-B107-4DCE-9D28-4F45EB8A3E8E}">
      <text>
        <r>
          <rPr>
            <sz val="9"/>
            <color indexed="81"/>
            <rFont val="Tahoma"/>
            <family val="2"/>
          </rPr>
          <t>Field Name: d_afe2_gain_x000D_
Access Mode:RW_x000D_
Description:AFE 2 Gain selection._x000D_
'0': Gain set to 12x._x000D_
'1': Gain set to 6x._x000D_
_x000D_
_x000D_
 {hdl_path d_afe2_gain_q} {output_coupling true} {scan_val 0}</t>
        </r>
      </text>
    </comment>
    <comment ref="AH46" authorId="0" shapeId="0" xr:uid="{EE858F39-689D-46EB-8AEE-3FF5F8C39F1D}">
      <text>
        <r>
          <rPr>
            <sz val="9"/>
            <color indexed="81"/>
            <rFont val="Tahoma"/>
            <family val="2"/>
          </rPr>
          <t>Field Name: pga_gain_x000D_
Access Mode:RW_x000D_
Description:PGA Gain selection._x000D_
'00': PGA Gain is set to 1x._x000D_
'01': PGA Gain is set to 1.5x._x000D_
'10': PGA Gain is set to 2x._x000D_
'11': PGA Gain is set to 3x._x000D_
 {hdl_path pga_gain_q}</t>
        </r>
      </text>
    </comment>
    <comment ref="AJ46" authorId="0" shapeId="0" xr:uid="{FB64F327-354E-4482-95D3-6B528A6682E3}">
      <text>
        <r>
          <rPr>
            <sz val="9"/>
            <color indexed="81"/>
            <rFont val="Tahoma"/>
            <family val="2"/>
          </rPr>
          <t>Field Name: pga_gain_postlock_x000D_
Access Mode:RW_x000D_
Description:PGA gain selection when RRL is already locked._x000D_
'00': PGA Gain is set to 1x._x000D_
'01': PGA Gain is set to 1.5x._x000D_
'10': PGA Gain is set to 2x._x000D_
'11': PGA Gain is set to 3x._x000D_
 {hdl_path pga_gain_postlock_q}</t>
        </r>
      </text>
    </comment>
    <comment ref="D47" authorId="0" shapeId="0" xr:uid="{38EB81E0-DB99-41F0-8E27-5BD419B874B0}">
      <text>
        <r>
          <rPr>
            <sz val="9"/>
            <color indexed="81"/>
            <rFont val="Tahoma"/>
            <family val="2"/>
          </rPr>
          <t>Write lock: "factory_register_lock_wr"_x000D_
Read lock: "customer_register_lock_rd"</t>
        </r>
      </text>
    </comment>
    <comment ref="L47" authorId="0" shapeId="0" xr:uid="{F368D96C-D9C8-44E1-8AC8-D9CB63B4F98B}">
      <text>
        <r>
          <rPr>
            <sz val="9"/>
            <color indexed="81"/>
            <rFont val="Tahoma"/>
            <family val="2"/>
          </rPr>
          <t>Field Name: rrl_clock_polarity_x000D_
Access Mode:RW_x000D_
Description:When '1', the RRL clock clock polarity is inverted._x000D_
 {hdl_path rrl_clock_polarity_q}</t>
        </r>
      </text>
    </comment>
    <comment ref="M47" authorId="0" shapeId="0" xr:uid="{963A68DC-84F0-404A-B9D7-3426AF087952}">
      <text>
        <r>
          <rPr>
            <sz val="9"/>
            <color indexed="81"/>
            <rFont val="Tahoma"/>
            <family val="2"/>
          </rPr>
          <t>Field Name: mcoil_polarity_x000D_
Access Mode:RW_x000D_
Description:When '1', the main coil clock polarity is inverted._x000D_
 {hdl_path mcoil_polarity_q}</t>
        </r>
      </text>
    </comment>
    <comment ref="N47" authorId="0" shapeId="0" xr:uid="{93FEECA1-F393-4DEC-92E5-D5461D3EE2DC}">
      <text>
        <r>
          <rPr>
            <sz val="9"/>
            <color indexed="81"/>
            <rFont val="Tahoma"/>
            <family val="2"/>
          </rPr>
          <t>Field Name: scoil_polarity_x000D_
Access Mode:RW_x000D_
Description:When '1', the secondary coil clock polarity is inverted._x000D_
 {hdl_path scoil_polarity_q}</t>
        </r>
      </text>
    </comment>
    <comment ref="O47" authorId="0" shapeId="0" xr:uid="{29318162-E67F-4F08-AF65-D44AEB5E09BC}">
      <text>
        <r>
          <rPr>
            <sz val="9"/>
            <color indexed="81"/>
            <rFont val="Tahoma"/>
            <family val="2"/>
          </rPr>
          <t>Field Name: tmr_polarity_x000D_
Access Mode:RW_x000D_
Description:When '1', TMR clock polarity is inverted._x000D_
 {hdl_path tmr_polarity_q}</t>
        </r>
      </text>
    </comment>
    <comment ref="P47" authorId="0" shapeId="0" xr:uid="{93C0AB82-1683-44F0-9F85-B057C0B6DD3D}">
      <text>
        <r>
          <rPr>
            <sz val="9"/>
            <color indexed="81"/>
            <rFont val="Tahoma"/>
            <family val="2"/>
          </rPr>
          <t>Field Name: rrl_for_test_x000D_
Access Mode:RW_x000D_
Description:When '1', RRL used for testing instead of offset reduction._x000D_
 {hdl_path rrl_for_test_q}</t>
        </r>
      </text>
    </comment>
    <comment ref="Q47" authorId="0" shapeId="0" xr:uid="{E948638A-0AB6-4F23-833D-2EDA1A862084}">
      <text>
        <r>
          <rPr>
            <sz val="9"/>
            <color indexed="81"/>
            <rFont val="Tahoma"/>
            <family val="2"/>
          </rPr>
          <t>Field Name: swp_channels_x000D_
Access Mode:RW_x000D_
Description:When '1', digital channels are swapped before division._x000D_
 {hdl_path swp_channels_q}</t>
        </r>
      </text>
    </comment>
    <comment ref="R47" authorId="0" shapeId="0" xr:uid="{09235385-752C-4EB0-B552-0B72A2FDBE35}">
      <text>
        <r>
          <rPr>
            <sz val="9"/>
            <color indexed="81"/>
            <rFont val="Tahoma"/>
            <family val="2"/>
          </rPr>
          <t>Field Name: scoil_dis_x000D_
Access Mode:RW_x000D_
Description:When '1', the secondary coil is disabled during normal operation (not for ABIST). _x000D_
 {hdl_path scoil_dis_q}</t>
        </r>
      </text>
    </comment>
    <comment ref="S47" authorId="0" shapeId="0" xr:uid="{58370231-727F-415E-9E7F-36EACE6B5617}">
      <text>
        <r>
          <rPr>
            <sz val="9"/>
            <color indexed="81"/>
            <rFont val="Tahoma"/>
            <family val="2"/>
          </rPr>
          <t>Field Name: tt_hys_x000D_
Access Mode:RW_x000D_
Description:Tiny temp hysteresis window in LSBs._x000D_
 {hdl_path tt_hys_q}</t>
        </r>
      </text>
    </comment>
    <comment ref="X47" authorId="0" shapeId="0" xr:uid="{F829D387-41EB-4659-BA8B-EB1C04CF10BD}">
      <text>
        <r>
          <rPr>
            <sz val="9"/>
            <color indexed="81"/>
            <rFont val="Tahoma"/>
            <family val="2"/>
          </rPr>
          <t>Field Name: tt_hys_e_x000D_
Access Mode:RW_x000D_
Description:Tiny temp hysteresis enable._x000D_
 {hdl_path tt_hys_e_q}</t>
        </r>
      </text>
    </comment>
    <comment ref="Y47" authorId="0" shapeId="0" xr:uid="{400D8838-DCC5-4C97-8ADC-75787D9F14A1}">
      <text>
        <r>
          <rPr>
            <sz val="9"/>
            <color indexed="81"/>
            <rFont val="Tahoma"/>
            <family val="2"/>
          </rPr>
          <t>Field Name: tt_toff_x000D_
Access Mode:RW_x000D_
Description:Tiny temp offset compensation (two's complement from -128 to +127)._x000D_
Effective offset: 4 x tt_toff._x000D_
 {hdl_path tt_toff_q}</t>
        </r>
      </text>
    </comment>
    <comment ref="AG47" authorId="0" shapeId="0" xr:uid="{5B76C519-7F87-4F7B-A064-AFF2FE90C0FE}">
      <text>
        <r>
          <rPr>
            <sz val="9"/>
            <color indexed="81"/>
            <rFont val="Tahoma"/>
            <family val="2"/>
          </rPr>
          <t>Field Name: tt_chop_dis_x000D_
Access Mode:RW_x000D_
Description:When '1', Tiny Temp chopper is disabled._x000D_
 {hdl_path tt_chop_dis_q}</t>
        </r>
      </text>
    </comment>
    <comment ref="AH47" authorId="0" shapeId="0" xr:uid="{1859BE14-9A10-4BCD-831C-C54DAC49B8ED}">
      <text>
        <r>
          <rPr>
            <sz val="9"/>
            <color indexed="81"/>
            <rFont val="Tahoma"/>
            <family val="2"/>
          </rPr>
          <t>Field Name: kalman_p_gain_x000D_
Access Mode:RW_x000D_
Description:Kalman filter for P divisor gain selection._x000D_
'00': 1/8_x000D_
'01': 1/16_x000D_
'10': 1/32_x000D_
'11': 1/64_x000D_
 {hdl_path kalman_p_gain_q}</t>
        </r>
      </text>
    </comment>
    <comment ref="AJ47" authorId="0" shapeId="0" xr:uid="{03C887AB-BF7D-46BC-BA4F-2D8BDD1991FB}">
      <text>
        <r>
          <rPr>
            <sz val="9"/>
            <color indexed="81"/>
            <rFont val="Tahoma"/>
            <family val="2"/>
          </rPr>
          <t>Field Name: kalman_p_e_x000D_
Access Mode:RW_x000D_
Description:Enables Kalman filter for P divisor._x000D_
 {hdl_path kalman_p_e_q}</t>
        </r>
      </text>
    </comment>
    <comment ref="AK47" authorId="0" shapeId="0" xr:uid="{6993F6D2-7C98-42CB-9749-62F33C8A707C}">
      <text>
        <r>
          <rPr>
            <sz val="9"/>
            <color indexed="81"/>
            <rFont val="Tahoma"/>
            <family val="2"/>
          </rPr>
          <t>Field Name: afe_chop_e_x000D_
Access Mode:RW_x000D_
Description:When '1', chopper is enabled for both channels AFE._x000D_
 {hdl_path afe_chop_e_q}</t>
        </r>
      </text>
    </comment>
    <comment ref="D48" authorId="0" shapeId="0" xr:uid="{826FA079-C45F-4288-B5A9-A15C9A037044}">
      <text>
        <r>
          <rPr>
            <sz val="9"/>
            <color indexed="81"/>
            <rFont val="Tahoma"/>
            <family val="2"/>
          </rPr>
          <t>Write lock: "factory_register_lock_wr"_x000D_
Read lock: "customer_register_lock_rd"</t>
        </r>
      </text>
    </comment>
    <comment ref="L48" authorId="0" shapeId="0" xr:uid="{EF55A138-B1EB-46F3-9140-9D1636E8E865}">
      <text>
        <r>
          <rPr>
            <sz val="9"/>
            <color indexed="81"/>
            <rFont val="Tahoma"/>
            <family val="2"/>
          </rPr>
          <t>Field Name: sh_fill_me_9_x000D_
Access Mode:RW_x000D_
Description:Reserved as spare._x000D_
 {hdl_path sh_fill_me_9_q}</t>
        </r>
      </text>
    </comment>
    <comment ref="P48" authorId="0" shapeId="0" xr:uid="{34E574D2-8C90-458F-B998-A417CF6172AC}">
      <text>
        <r>
          <rPr>
            <sz val="9"/>
            <color indexed="81"/>
            <rFont val="Tahoma"/>
            <family val="2"/>
          </rPr>
          <t>Field Name: block_volatile_output_x000D_
Access Mode:RW_x000D_
Description:Block volatile outputs to avoid false test mode activating._x000D_
 {hdl_path block_volatile_output_q}</t>
        </r>
      </text>
    </comment>
    <comment ref="Q48" authorId="0" shapeId="0" xr:uid="{EC0A63F5-BE49-4BF6-8141-28F7CE4EFE8F}">
      <text>
        <r>
          <rPr>
            <sz val="9"/>
            <color indexed="81"/>
            <rFont val="Tahoma"/>
            <family val="2"/>
          </rPr>
          <t>Field Name: comp_e_x000D_
Access Mode:RW_x000D_
Description:When '1', compensation is enabled. Otherwise it is bypassed._x000D_
 {hdl_path comp_e_q}</t>
        </r>
      </text>
    </comment>
    <comment ref="R48" authorId="0" shapeId="0" xr:uid="{5E8C1503-6472-4911-A5AB-463821A652B2}">
      <text>
        <r>
          <rPr>
            <sz val="9"/>
            <color indexed="81"/>
            <rFont val="Tahoma"/>
            <family val="2"/>
          </rPr>
          <t>Field Name: vo1_tc_x000D_
Access Mode:RW_x000D_
Description:V1 offset TC (two's complement from -512 to +511)._x000D_
 {hdl_path vo1_tc_q}</t>
        </r>
      </text>
    </comment>
    <comment ref="AB48" authorId="0" shapeId="0" xr:uid="{CE1E5794-1B4F-4E4F-8811-ED730FF71163}">
      <text>
        <r>
          <rPr>
            <sz val="9"/>
            <color indexed="81"/>
            <rFont val="Tahoma"/>
            <family val="2"/>
          </rPr>
          <t>Field Name: vo1_room_x000D_
Access Mode:RW_x000D_
Description:V1 offset at 25?C (two's complement from -512 to +511)._x000D_
 {hdl_path vo1_room_q}</t>
        </r>
      </text>
    </comment>
    <comment ref="D49" authorId="0" shapeId="0" xr:uid="{417FE76F-38E2-406C-95F4-7A1D40A43BBB}">
      <text>
        <r>
          <rPr>
            <sz val="9"/>
            <color indexed="81"/>
            <rFont val="Tahoma"/>
            <family val="2"/>
          </rPr>
          <t>Write lock: "factory_register_lock_wr"_x000D_
Read lock: "customer_register_lock_rd"</t>
        </r>
      </text>
    </comment>
    <comment ref="L49" authorId="0" shapeId="0" xr:uid="{82B8E113-238D-4547-B8BF-C1148BA47E5C}">
      <text>
        <r>
          <rPr>
            <sz val="9"/>
            <color indexed="81"/>
            <rFont val="Tahoma"/>
            <family val="2"/>
          </rPr>
          <t>Field Name: rrl_clock_delay_x000D_
Access Mode:RW_x000D_
Description:RRL clock delay trimming._x000D_
When RRL used for test, nominal delay value is d17._x000D_
When RRL used for chopper, nominal delay value is d14._x000D_
 {hdl_path rrl_clock_delay_q}</t>
        </r>
      </text>
    </comment>
    <comment ref="R49" authorId="0" shapeId="0" xr:uid="{5394C17E-8024-4379-915E-2BB769E0D0E6}">
      <text>
        <r>
          <rPr>
            <sz val="9"/>
            <color indexed="81"/>
            <rFont val="Tahoma"/>
            <family val="2"/>
          </rPr>
          <t>Field Name: vo2_tc_x000D_
Access Mode:RW_x000D_
Description:V2 offset TC (two's complement from -512 to +511)._x000D_
 {hdl_path vo2_tc_q}</t>
        </r>
      </text>
    </comment>
    <comment ref="AB49" authorId="0" shapeId="0" xr:uid="{9A2D4672-C1A6-422A-AD88-339C6623B92D}">
      <text>
        <r>
          <rPr>
            <sz val="9"/>
            <color indexed="81"/>
            <rFont val="Tahoma"/>
            <family val="2"/>
          </rPr>
          <t>Field Name: vo2_room_x000D_
Access Mode:RW_x000D_
Description:V2 offset at 25?C (two's complement from -512 to +511)._x000D_
 {hdl_path vo2_room_q}</t>
        </r>
      </text>
    </comment>
    <comment ref="D50" authorId="0" shapeId="0" xr:uid="{B30F7382-4BF5-49C4-9CF5-AD581E07F99C}">
      <text>
        <r>
          <rPr>
            <sz val="9"/>
            <color indexed="81"/>
            <rFont val="Tahoma"/>
            <family val="2"/>
          </rPr>
          <t>Write lock: "factory_register_lock_wr"_x000D_
Read lock: "customer_register_lock_rd"</t>
        </r>
      </text>
    </comment>
    <comment ref="T50" authorId="0" shapeId="0" xr:uid="{B663CE50-2F20-454F-9293-2C1249F155B6}">
      <text>
        <r>
          <rPr>
            <sz val="9"/>
            <color indexed="81"/>
            <rFont val="Tahoma"/>
            <family val="2"/>
          </rPr>
          <t>Field Name: a1_tc_x000D_
Access Mode:RW_x000D_
Description:A1 gain TC (two's complement from -128 to +127). If no compensation is required, set it to 0._x000D_
 {hdl_path a1_tc_q}</t>
        </r>
      </text>
    </comment>
    <comment ref="AC50" authorId="0" shapeId="0" xr:uid="{92DC3358-9D35-4D54-8898-14EDFAEB1A06}">
      <text>
        <r>
          <rPr>
            <sz val="9"/>
            <color indexed="81"/>
            <rFont val="Tahoma"/>
            <family val="2"/>
          </rPr>
          <t>Field Name: a1_room_x000D_
Access Mode:RW_x000D_
Description:A1 gain at 25?C (two's complement from -512 to +511). If no compensation is required, set it to +256._x000D_
 {hdl_path a1_room_q}</t>
        </r>
      </text>
    </comment>
    <comment ref="D51" authorId="0" shapeId="0" xr:uid="{7DCC0783-EFDA-40F9-BE0B-FB44B811A1CA}">
      <text>
        <r>
          <rPr>
            <sz val="9"/>
            <color indexed="81"/>
            <rFont val="Tahoma"/>
            <family val="2"/>
          </rPr>
          <t>Write lock: "factory_register_lock_wr"_x000D_
Read lock: "customer_register_lock_rd"</t>
        </r>
      </text>
    </comment>
    <comment ref="L51" authorId="0" shapeId="0" xr:uid="{7273105C-F2A2-4358-A0E8-ADF90E92AD9C}">
      <text>
        <r>
          <rPr>
            <sz val="9"/>
            <color indexed="81"/>
            <rFont val="Tahoma"/>
            <family val="2"/>
          </rPr>
          <t>Field Name: sh_fill_me_c_x000D_
Access Mode:RW_x000D_
Description:Reserved as spare._x000D_
 {hdl_path sh_fill_me_c_q}</t>
        </r>
      </text>
    </comment>
    <comment ref="M51" authorId="0" shapeId="0" xr:uid="{C2BAECD6-18AD-468A-A639-9998097D37A0}">
      <text>
        <r>
          <rPr>
            <sz val="9"/>
            <color indexed="81"/>
            <rFont val="Tahoma"/>
            <family val="2"/>
          </rPr>
          <t>Field Name: vtmr_room_x000D_
Access Mode:RW_x000D_
Description:VTMR DAC value at 25?C (unsigned, from 0 to +127)._x000D_
'0000000': min val 0.5V._x000D_
'0000000': max val 2.0V._x000D_
LSB step = 11.71875 mV._x000D_
 {hdl_path vtmr_room_q}</t>
        </r>
      </text>
    </comment>
    <comment ref="T51" authorId="0" shapeId="0" xr:uid="{81824364-06AC-4AC8-A907-7F9C85298C61}">
      <text>
        <r>
          <rPr>
            <sz val="9"/>
            <color indexed="81"/>
            <rFont val="Tahoma"/>
            <family val="2"/>
          </rPr>
          <t>Field Name: a2_tc_x000D_
Access Mode:RW_x000D_
Description:A2 gain TC (two's complement from -128 to +127). If no compensation is required, set it to 0._x000D_
 {hdl_path a2_tc_q}</t>
        </r>
      </text>
    </comment>
    <comment ref="AC51" authorId="0" shapeId="0" xr:uid="{52C6CBA3-BCBB-41FB-A9EE-54CCE8784537}">
      <text>
        <r>
          <rPr>
            <sz val="9"/>
            <color indexed="81"/>
            <rFont val="Tahoma"/>
            <family val="2"/>
          </rPr>
          <t>Field Name: a2_room_x000D_
Access Mode:RW_x000D_
Description:A2 gain at 25?C (two's complement from -512 to +511). If no compensation is required, set it to +256._x000D_
 {hdl_path a2_room_q}</t>
        </r>
      </text>
    </comment>
    <comment ref="D52" authorId="0" shapeId="0" xr:uid="{B3987A6E-0856-4180-ACAF-C072E62EECA5}">
      <text>
        <r>
          <rPr>
            <sz val="9"/>
            <color indexed="81"/>
            <rFont val="Tahoma"/>
            <family val="2"/>
          </rPr>
          <t>Write lock: "factory_register_lock_wr"_x000D_
Read lock: "customer_register_lock_rd"</t>
        </r>
      </text>
    </comment>
    <comment ref="L52" authorId="0" shapeId="0" xr:uid="{41157BF9-0FF3-44CD-BD2E-5E64E5FA7B3A}">
      <text>
        <r>
          <rPr>
            <sz val="9"/>
            <color indexed="81"/>
            <rFont val="Tahoma"/>
            <family val="2"/>
          </rPr>
          <t>Field Name: vtmr_tc_h_x000D_
Access Mode:RW_x000D_
Description:VTMR TC slope above slope change point (unsigned from 0 to +1023)._x000D_
 {hdl_path vtmr_tc_h_q}</t>
        </r>
      </text>
    </comment>
    <comment ref="V52" authorId="0" shapeId="0" xr:uid="{CDE02D18-B96A-4E0C-AC1A-6C85145CB411}">
      <text>
        <r>
          <rPr>
            <sz val="9"/>
            <color indexed="81"/>
            <rFont val="Tahoma"/>
            <family val="2"/>
          </rPr>
          <t>Field Name: vtmr_tc_l_x000D_
Access Mode:RW_x000D_
Description:VTMR TC slope above slope change point (unsigned from 0 to +1023)._x000D_
 {hdl_path vtmr_tc_l_q}</t>
        </r>
      </text>
    </comment>
    <comment ref="AF52" authorId="0" shapeId="0" xr:uid="{8BAC478C-397F-441F-843E-3A67B2033DBB}">
      <text>
        <r>
          <rPr>
            <sz val="9"/>
            <color indexed="81"/>
            <rFont val="Tahoma"/>
            <family val="2"/>
          </rPr>
          <t>Field Name: vtmr_tinf_x000D_
Access Mode:RW_x000D_
Description:VTMR slope change temperature point._x000D_
 {hdl_path vtmr_tinf_q}</t>
        </r>
      </text>
    </comment>
    <comment ref="D53" authorId="0" shapeId="0" xr:uid="{5F36C916-6218-4382-ADAB-782C4E7AE720}">
      <text>
        <r>
          <rPr>
            <sz val="9"/>
            <color indexed="81"/>
            <rFont val="Tahoma"/>
            <family val="2"/>
          </rPr>
          <t>Write lock: "factory_register_lock_wr"_x000D_
Read lock: "customer_register_lock_rd"</t>
        </r>
      </text>
    </comment>
    <comment ref="L53" authorId="0" shapeId="0" xr:uid="{EA58A2C7-51F8-476C-9AF9-B924EA5687B4}">
      <text>
        <r>
          <rPr>
            <sz val="9"/>
            <color indexed="81"/>
            <rFont val="Tahoma"/>
            <family val="2"/>
          </rPr>
          <t>Field Name: kd_int_x000D_
Access Mode:RW_x000D_
Description:KD coefficient, integer part._x000D_
 {hdl_path kd_int_q}</t>
        </r>
      </text>
    </comment>
    <comment ref="M53" authorId="0" shapeId="0" xr:uid="{4415D257-0CFE-487B-BADF-18354FD3626D}">
      <text>
        <r>
          <rPr>
            <sz val="9"/>
            <color indexed="81"/>
            <rFont val="Tahoma"/>
            <family val="2"/>
          </rPr>
          <t>Field Name: kd_frac_x000D_
Access Mode:RW_x000D_
Description:KD coefficient, fractional part (two's complement from -1024 to +1023)._x000D_
 {hdl_path kd_frac_q}</t>
        </r>
      </text>
    </comment>
    <comment ref="X53" authorId="0" shapeId="0" xr:uid="{B52D5323-E627-45E3-8D5E-BE3343729875}">
      <text>
        <r>
          <rPr>
            <sz val="9"/>
            <color indexed="81"/>
            <rFont val="Tahoma"/>
            <family val="2"/>
          </rPr>
          <t>Field Name: delta_d_x000D_
Access Mode:RW_x000D_
Description:Delta_d coefficient  (two's complement from -8192 to +8191)._x000D_
 {hdl_path delta_d_q}</t>
        </r>
      </text>
    </comment>
    <comment ref="D54" authorId="0" shapeId="0" xr:uid="{96D7B0A9-2219-45AB-8AB6-FF2FDD10C2BB}">
      <text>
        <r>
          <rPr>
            <sz val="9"/>
            <color indexed="81"/>
            <rFont val="Tahoma"/>
            <family val="2"/>
          </rPr>
          <t>Write lock: "factory_register_lock_wr"_x000D_
Read lock: "customer_register_lock_rd"</t>
        </r>
      </text>
    </comment>
    <comment ref="L54" authorId="0" shapeId="0" xr:uid="{DC3EB6CA-959D-45BB-9250-E15F7348EC29}">
      <text>
        <r>
          <rPr>
            <sz val="9"/>
            <color indexed="81"/>
            <rFont val="Tahoma"/>
            <family val="2"/>
          </rPr>
          <t>Field Name: sh_fill_me_f_x000D_
Access Mode:RW_x000D_
Description:Reserved as spare._x000D_
 {hdl_path sh_fill_me_f_q}</t>
        </r>
      </text>
    </comment>
    <comment ref="N54" authorId="0" shapeId="0" xr:uid="{F8414A91-39A1-4903-AB22-61E46EF0C695}">
      <text>
        <r>
          <rPr>
            <sz val="9"/>
            <color indexed="81"/>
            <rFont val="Tahoma"/>
            <family val="2"/>
          </rPr>
          <t>Field Name: v1_m_v2_thr_h_x000D_
Access Mode:RW_x000D_
Description:v1 - v2 threshold high (steps of 64 LSBs)._x000D_
 {hdl_path v1_m_v2_thr_h_q}</t>
        </r>
      </text>
    </comment>
    <comment ref="T54" authorId="0" shapeId="0" xr:uid="{550E5E00-6287-4F12-A80C-95735DFFEFEC}">
      <text>
        <r>
          <rPr>
            <sz val="9"/>
            <color indexed="81"/>
            <rFont val="Tahoma"/>
            <family val="2"/>
          </rPr>
          <t>Field Name: v1_m_v2_thr_l_x000D_
Access Mode:RW_x000D_
Description:v1 - v2 threshold low (steps of 1024 LSBs)._x000D_
 {hdl_path v1_m_v2_thr_l_q}</t>
        </r>
      </text>
    </comment>
    <comment ref="Z54" authorId="0" shapeId="0" xr:uid="{59BA3CEB-EE57-440C-ACC8-A5DDC577E424}">
      <text>
        <r>
          <rPr>
            <sz val="9"/>
            <color indexed="81"/>
            <rFont val="Tahoma"/>
            <family val="2"/>
          </rPr>
          <t>Field Name: v1_div_v2_thr_h_x000D_
Access Mode:RW_x000D_
Description:v1_sec / v2_sec threshold high (steps of 512 LSBs)._x000D_
 {hdl_path v1_div_v2_thr_h_q}</t>
        </r>
      </text>
    </comment>
    <comment ref="AF54" authorId="0" shapeId="0" xr:uid="{F74EDDC6-54C6-426A-AE0F-3FAD2A7C7020}">
      <text>
        <r>
          <rPr>
            <sz val="9"/>
            <color indexed="81"/>
            <rFont val="Tahoma"/>
            <family val="2"/>
          </rPr>
          <t>Field Name: v1_div_v2_thr_l_x000D_
Access Mode:RW_x000D_
Description:v1_sec / v2_sec threshold low (steps of 1024 LSBs)._x000D_
 {hdl_path v1_div_v2_thr_l_q}</t>
        </r>
      </text>
    </comment>
    <comment ref="D55" authorId="0" shapeId="0" xr:uid="{B281FE5E-1A68-4BE7-A772-88B7F0EA015A}">
      <text>
        <r>
          <rPr>
            <sz val="9"/>
            <color indexed="81"/>
            <rFont val="Tahoma"/>
            <family val="2"/>
          </rPr>
          <t>Write lock: "customer_register_lock_wr"_x000D_
Read lock: "customer_register_lock_rd"</t>
        </r>
      </text>
    </comment>
    <comment ref="L55" authorId="0" shapeId="0" xr:uid="{F804B3AE-2D98-4602-96A8-DB393850C1E9}">
      <text>
        <r>
          <rPr>
            <sz val="9"/>
            <color indexed="81"/>
            <rFont val="Tahoma"/>
            <family val="2"/>
          </rPr>
          <t>Field Name: sh_fill_me_10_x000D_
Access Mode:RW_x000D_
Description:Reseved as spare._x000D_
 {hdl_path sh_fill_me_10_q}</t>
        </r>
      </text>
    </comment>
    <comment ref="N55" authorId="0" shapeId="0" xr:uid="{020A16B1-EB8D-45F8-8B48-3B823DE91811}">
      <text>
        <r>
          <rPr>
            <sz val="9"/>
            <color indexed="81"/>
            <rFont val="Tahoma"/>
            <family val="2"/>
          </rPr>
          <t>Field Name: sent_scn_config_x000D_
Access Mode:RW_x000D_
Description:0:  SCN[3:2] = SENT slow serial message._x000D_
1:  SCN[3:2] = All zeros._x000D_
2:  SCN[3:2] = Device ID, SCN[3] = ID[1] and SCN[2] = ID[0]._x000D_
3:  SCN[3:2] = SENT slow serial message (same as option 0)._x000D_
 {hdl_path sent_scn_config_q}</t>
        </r>
      </text>
    </comment>
    <comment ref="P55" authorId="0" shapeId="0" xr:uid="{1C7C18E4-7298-4A12-8541-2026027B8F55}">
      <text>
        <r>
          <rPr>
            <sz val="9"/>
            <color indexed="81"/>
            <rFont val="Tahoma"/>
            <family val="2"/>
          </rPr>
          <t>Field Name: sent_data_config_x000D_
Access Mode:RW_x000D_
Description:Number and format of data nibbles in SENT frame. _x000D_
 {hdl_path sent_data_config_q}</t>
        </r>
      </text>
    </comment>
    <comment ref="S55" authorId="0" shapeId="0" xr:uid="{EAD66A48-DFDC-461C-92EB-F7F47ADBE051}">
      <text>
        <r>
          <rPr>
            <sz val="9"/>
            <color indexed="81"/>
            <rFont val="Tahoma"/>
            <family val="2"/>
          </rPr>
          <t>Field Name: sent_splmin_adjust_x000D_
Access Mode:RW_x000D_
Description:Function Pulse Adjust. Only for SSENT-Long. Increases the lower threshold of F_OUTPUT pulse:_x000D_
00: No change to F_OUTPUT pulse width. Minimum width = 7 Ticks._x000D_
01: Minimum width of F_OUTPUT increased by 1 Tick. Min = 8 Ticks._x000D_
10: Minimum width of F_OUTPUT increased by 2 Ticks. Min = 9 Ticks._x000D_
11: Minimum width of F_OUTPUT increased by 3 Ticks. Min = 10 Ticks._x000D_
 {hdl_path sent_splmin_adjust_q}</t>
        </r>
      </text>
    </comment>
    <comment ref="U55" authorId="0" shapeId="0" xr:uid="{308F1D12-3419-4024-8F08-6C5C01F81F6E}">
      <text>
        <r>
          <rPr>
            <sz val="9"/>
            <color indexed="81"/>
            <rFont val="Tahoma"/>
            <family val="2"/>
          </rPr>
          <t>Field Name: sent_slot_marking_x000D_
Access Mode:RW_x000D_
Description:When '1', In SSENT, slot marking times applied prior to start of frame._x000D_
 {hdl_path sent_slot_marking_q}</t>
        </r>
      </text>
    </comment>
    <comment ref="V55" authorId="0" shapeId="0" xr:uid="{76523709-2294-446D-806B-2DF14C187476}">
      <text>
        <r>
          <rPr>
            <sz val="9"/>
            <color indexed="81"/>
            <rFont val="Tahoma"/>
            <family val="2"/>
          </rPr>
          <t>Field Name: sent_slot_sync_x000D_
Access Mode:RW_x000D_
Description:When '1', In SSENT+slot_marking, uses slot_marking output pulse from other devices to sync slot counter._x000D_
 {hdl_path sent_slot_sync_q}</t>
        </r>
      </text>
    </comment>
    <comment ref="W55" authorId="0" shapeId="0" xr:uid="{1ADB1EE7-54C8-4BBB-87E2-95DA5E310E8F}">
      <text>
        <r>
          <rPr>
            <sz val="9"/>
            <color indexed="81"/>
            <rFont val="Tahoma"/>
            <family val="2"/>
          </rPr>
          <t>Field Name: sent_por_offline_x000D_
Access Mode:RW_x000D_
Description:When '1', sensor will be in OFFLINE mode following a POR._x000D_
 {hdl_path sent_por_offline_q}</t>
        </r>
      </text>
    </comment>
    <comment ref="X55" authorId="0" shapeId="0" xr:uid="{8F5F1F03-BCB0-4D9D-BF30-FC3E196A8508}">
      <text>
        <r>
          <rPr>
            <sz val="9"/>
            <color indexed="81"/>
            <rFont val="Tahoma"/>
            <family val="2"/>
          </rPr>
          <t>Field Name: sent_idle_sync_x000D_
Access Mode:RW_x000D_
Description:When '1', In SSENT, bus idle time &gt; 510 ticks will act as F_SYNC._x000D_
 {hdl_path sent_idle_sync_q}</t>
        </r>
      </text>
    </comment>
    <comment ref="Y55" authorId="0" shapeId="0" xr:uid="{5FF12683-03B9-4EE4-85C9-1320FC36E5FD}">
      <text>
        <r>
          <rPr>
            <sz val="9"/>
            <color indexed="81"/>
            <rFont val="Tahoma"/>
            <family val="2"/>
          </rPr>
          <t>Field Name: sent_fsample_adr_x000D_
Access Mode:RW_x000D_
Description:When '1', F_SAMPLE is addressing + sample_and_hold request._x000D_
 {hdl_path sent_fsample_adr_q}</t>
        </r>
      </text>
    </comment>
    <comment ref="Z55" authorId="0" shapeId="0" xr:uid="{7AF549F2-2411-4E08-A792-07309A6F5EF9}">
      <text>
        <r>
          <rPr>
            <sz val="9"/>
            <color indexed="81"/>
            <rFont val="Tahoma"/>
            <family val="2"/>
          </rPr>
          <t>Field Name: sent_zero_sample_x000D_
Access Mode:RW_x000D_
Description:When '1', In SSENT, sample_and_hold requested when slot_cntr=0._x000D_
 {hdl_path sent_zero_sample_q}</t>
        </r>
      </text>
    </comment>
    <comment ref="AA55" authorId="0" shapeId="0" xr:uid="{F4BB10F5-5F5A-4290-8FAA-4276A902CC99}">
      <text>
        <r>
          <rPr>
            <sz val="9"/>
            <color indexed="81"/>
            <rFont val="Tahoma"/>
            <family val="2"/>
          </rPr>
          <t>Field Name: sent_no_fsample_x000D_
Access Mode:RW_x000D_
Description:When '1', F_SAMPLE will not create a sample_and_hold request._x000D_
 {hdl_path sent_no_fsample_q}</t>
        </r>
      </text>
    </comment>
    <comment ref="AB55" authorId="0" shapeId="0" xr:uid="{05E6997F-5929-482B-98D4-E2005A9F8277}">
      <text>
        <r>
          <rPr>
            <sz val="9"/>
            <color indexed="81"/>
            <rFont val="Tahoma"/>
            <family val="2"/>
          </rPr>
          <t>Field Name: sent_device_id_x000D_
Access Mode:RW_x000D_
Description:Device ID for SSENT and ASENT. Also for Manchester communication._x000D_
 {hdl_path sent_device_id_q}</t>
        </r>
      </text>
    </comment>
    <comment ref="AD55" authorId="0" shapeId="0" xr:uid="{12D14CDE-6CA1-4155-A1B8-8C9D419E7D36}">
      <text>
        <r>
          <rPr>
            <sz val="9"/>
            <color indexed="81"/>
            <rFont val="Tahoma"/>
            <family val="2"/>
          </rPr>
          <t>Field Name: sent_max_devices_x000D_
Access Mode:RW_x000D_
Description:Highest device number on the bus for SSENT._x000D_
 {hdl_path sent_max_devices_q}</t>
        </r>
      </text>
    </comment>
    <comment ref="AF55" authorId="0" shapeId="0" xr:uid="{BDD75E9B-5A09-4548-9A79-D5E9C365409A}">
      <text>
        <r>
          <rPr>
            <sz val="9"/>
            <color indexed="81"/>
            <rFont val="Tahoma"/>
            <family val="2"/>
          </rPr>
          <t>Field Name: sent_aux_adr_x000D_
Access Mode:RW_x000D_
Description:F_AUX addressing mode._x000D_
0: F_AUX is broadcast._x000D_
1: F_AUX is addressing._x000D_
 {hdl_path sent_aux_adr_q}</t>
        </r>
      </text>
    </comment>
    <comment ref="AG55" authorId="0" shapeId="0" xr:uid="{D0D4DE00-3AEA-438A-B696-D252761AF52F}">
      <text>
        <r>
          <rPr>
            <sz val="9"/>
            <color indexed="81"/>
            <rFont val="Tahoma"/>
            <family val="2"/>
          </rPr>
          <t>Field Name: sent_crc_scn_x000D_
Access Mode:RW_x000D_
Description:When '1', SCN nibble is used to calculate CRC along with data nibbles._x000D_
 {hdl_path sent_crc_scn_q}</t>
        </r>
      </text>
    </comment>
    <comment ref="AH55" authorId="0" shapeId="0" xr:uid="{BB21B826-118B-49E1-B43C-B2BC82891DC4}">
      <text>
        <r>
          <rPr>
            <sz val="9"/>
            <color indexed="81"/>
            <rFont val="Tahoma"/>
            <family val="2"/>
          </rPr>
          <t>Field Name: sent_no_smsg_x000D_
Access Mode:RW_x000D_
Description:0: Only bits [1:0] of the Status Nibble are writable by scn_data[1:0] input, bits [3:2] of the Status Nibble are used for short serial message._x000D_
1: Suppress short serial message, the scn_data[3:0] input writes the complete Status Nibble._x000D_
 {hdl_path sent_no_smsg_q}</t>
        </r>
      </text>
    </comment>
    <comment ref="AI55" authorId="0" shapeId="0" xr:uid="{BC7D06C0-D162-461F-96AA-D2A593849D4F}">
      <text>
        <r>
          <rPr>
            <sz val="9"/>
            <color indexed="81"/>
            <rFont val="Tahoma"/>
            <family val="2"/>
          </rPr>
          <t>Field Name: sent_output_mode_x000D_
Access Mode:RW_x000D_
Description:Output mode:_x000D_
0: SENT_x000D_
1: SENT - Paused_x000D_
2: ISENT_x000D_
3: TSENT - SCN_x000D_
4: TSENT - Falling_x000D_
5: SSENT - Short_x000D_
6: SSENT - Long_x000D_
7: ASENT_x000D_
 {hdl_path sent_output_mode_q}</t>
        </r>
      </text>
    </comment>
    <comment ref="D56" authorId="0" shapeId="0" xr:uid="{A8146BF9-3577-413E-B31B-B9B0CAF5C200}">
      <text>
        <r>
          <rPr>
            <sz val="9"/>
            <color indexed="81"/>
            <rFont val="Tahoma"/>
            <family val="2"/>
          </rPr>
          <t>Write lock: "customer_register_lock_wr"_x000D_
Read lock: "customer_register_lock_rd"</t>
        </r>
      </text>
    </comment>
    <comment ref="AC56" authorId="0" shapeId="0" xr:uid="{EA2E58E6-9A4A-474E-89C3-218E6397905A}">
      <text>
        <r>
          <rPr>
            <sz val="9"/>
            <color indexed="81"/>
            <rFont val="Tahoma"/>
            <family val="2"/>
          </rPr>
          <t>Field Name: sent_trg_config_x000D_
Access Mode:RW_x000D_
Description:SENT minimum low time for recognize a valid TSENT trigger pulse or a valid ASENT incaddr pulse._x000D_
0: 2.5us_x000D_
1: 5us_x000D_
2: 10us_x000D_
3: 0.5us_x000D_
 {hdl_path sent_trg_config_q}</t>
        </r>
      </text>
    </comment>
    <comment ref="AE56" authorId="0" shapeId="0" xr:uid="{2002F416-A0EC-46FB-921B-F9FDE8B8659F}">
      <text>
        <r>
          <rPr>
            <sz val="9"/>
            <color indexed="81"/>
            <rFont val="Tahoma"/>
            <family val="2"/>
          </rPr>
          <t>Field Name: sent_tick_time_x000D_
Access Mode:RW_x000D_
Description:SENT tick time selection (from 1 to 127, 0 yields an invalid frame)._x000D_
From 122ns (sent_tick_time=1)._x000D_
To 15.5us (sent_tick_time=127)._x000D_
Step: 1LSB = 122ns._x000D_
 {hdl_path sent_tick_time_q}</t>
        </r>
      </text>
    </comment>
    <comment ref="D57" authorId="0" shapeId="0" xr:uid="{850D72A5-1631-4D1D-872F-90F905351262}">
      <text>
        <r>
          <rPr>
            <sz val="9"/>
            <color indexed="81"/>
            <rFont val="Tahoma"/>
            <family val="2"/>
          </rPr>
          <t>Write lock: "customer_register_lock_wr"_x000D_
Read lock: "customer_register_lock_rd"</t>
        </r>
      </text>
    </comment>
    <comment ref="AC57" authorId="0" shapeId="0" xr:uid="{0849A342-1B84-46DA-A0E3-5073176794C2}">
      <text>
        <r>
          <rPr>
            <sz val="9"/>
            <color indexed="81"/>
            <rFont val="Tahoma"/>
            <family val="2"/>
          </rPr>
          <t>Field Name: outdrv_sel_x000D_
Access Mode:RW_x000D_
Description:Adjust output driving for fall time control._x000D_
'000': Output fall time is 0.05 usec._x000D_
'001': Output fall time is 0.1 usec._x000D_
'010': Output fall time is 0.2 usec._x000D_
'011': Output fall time is 0.3 usec._x000D_
'100': Output fall time is 0.8 usec._x000D_
'101': Output fall time is 1.5 usec._x000D_
'110': Output fall time is 3.2 usec._x000D_
'111': Output fall time is 5.0 usec._x000D_
 {hdl_path outdrv_sel_q}</t>
        </r>
      </text>
    </comment>
    <comment ref="AF57" authorId="0" shapeId="0" xr:uid="{04A44884-130F-4D3D-B183-6C47BDF0C1E2}">
      <text>
        <r>
          <rPr>
            <sz val="9"/>
            <color indexed="81"/>
            <rFont val="Tahoma"/>
            <family val="2"/>
          </rPr>
          <t>Field Name: pwm1_sent0_x000D_
Access Mode:RW_x000D_
Description:When '1', PWM is enabled, when '0' SENT is enabled._x000D_
 {hdl_path pwm1_sent0_q}</t>
        </r>
      </text>
    </comment>
    <comment ref="AG57" authorId="0" shapeId="0" xr:uid="{786A3300-BA34-4F46-A820-20D505298117}">
      <text>
        <r>
          <rPr>
            <sz val="9"/>
            <color indexed="81"/>
            <rFont val="Tahoma"/>
            <family val="2"/>
          </rPr>
          <t>Field Name: pwm_cmd_trigger_cfg_x000D_
Access Mode:RW_x000D_
Description:When '1', command triggers every time the condition is met._x000D_
When '0', command triggers after the host releases the pwm_out._x000D_
 {hdl_path pwm_cmd_trigger_cfg_q}</t>
        </r>
      </text>
    </comment>
    <comment ref="AH57" authorId="0" shapeId="0" xr:uid="{03BE7A2E-A343-4883-B618-9485162E9044}">
      <text>
        <r>
          <rPr>
            <sz val="9"/>
            <color indexed="81"/>
            <rFont val="Tahoma"/>
            <family val="2"/>
          </rPr>
          <t>Field Name: pwm_period_sel_x000D_
Access Mode:RW_x000D_
Description:PWM active period selection._x000D_
'0000': 128000 system clocks (7812.5us - 0.128KHz - Resolution 15 bits)._x000D_
'0001': 96000 system clocks (5859.375us - 0.170KHz - Resolution 15 bits)._x000D_
'0010': 64000 system clocks (3906.25us - 0.256KHz - Resolution 14 bits)._x000D_
'0011': 48000 system clocks (2929.6875us - 0.341KHz - Resolution 14 bits)._x000D_
'0100': 32000 system clocks (1953.125us - 0.512KHz - Resolution 13 bits)._x000D_
'0101': 24000 system clocks (1464.844us - 0.683KHz - Resolution 13 bits)._x000D_
'0110': 20000 system clocks (1220.703us - 0.819KHz - Resolution 13 bits)._x000D_
'0111': 16000 system clocks (976.5625us - 1.024KHz - Resolution 12 bits)._x000D_
'1000': 12000 system clocks (732.4219us - 1.365KHz - Resolution 12 bits)._x000D_
'1001': 10000 system clocks (610.3516us - 1.638KHz - Resolution 12 bits)._x000D_
'1010': 8000 system clocks (488.2813us - 2.048KHz - Resolution 11 bits)._x000D_
'1011': 6000 system clocks (366.2109us - 2.731KHz - Resolution 11 bits)._x000D_
'1100': 4000 system clocks (244.1406us - 4.096KHz - Resolution 10 bits)._x000D_
'1101': 3000 system clocks (183.1055us - 5.461KHz - Resolution 10 bits)._x000D_
'1110': 2000 system clocks (122.0703us - 8.192KHz - Resolution 9 bits)._x000D_
'1111': 1000 system clocks (61.0352us - 16384KHz - Resolution 8 bits)._x000D_
 {hdl_path pwm_period_sel_q}</t>
        </r>
      </text>
    </comment>
    <comment ref="D58" authorId="0" shapeId="0" xr:uid="{AFB26FFF-C2BC-4261-BCE0-81693FEBA37D}">
      <text>
        <r>
          <rPr>
            <sz val="9"/>
            <color indexed="81"/>
            <rFont val="Tahoma"/>
            <family val="2"/>
          </rPr>
          <t>Write lock: "customer_register_lock_wr"_x000D_
Read lock: "customer_register_lock_rd"</t>
        </r>
      </text>
    </comment>
    <comment ref="L58" authorId="0" shapeId="0" xr:uid="{54D06C2E-0991-43EE-9C54-63A997334CD5}">
      <text>
        <r>
          <rPr>
            <sz val="9"/>
            <color indexed="81"/>
            <rFont val="Tahoma"/>
            <family val="2"/>
          </rPr>
          <t>Field Name: lin01_x000D_
Access Mode:RW_x000D_
Description:Linearization table entry 1._x000D_
 {hdl_path lin01_q}</t>
        </r>
      </text>
    </comment>
    <comment ref="Y58" authorId="0" shapeId="0" xr:uid="{6A752F37-3A14-4888-A3EE-602866225D31}">
      <text>
        <r>
          <rPr>
            <sz val="9"/>
            <color indexed="81"/>
            <rFont val="Tahoma"/>
            <family val="2"/>
          </rPr>
          <t>Field Name: lin00_x000D_
Access Mode:RW_x000D_
Description:Linearization table entry 0._x000D_
 {hdl_path lin00_q}</t>
        </r>
      </text>
    </comment>
    <comment ref="D59" authorId="0" shapeId="0" xr:uid="{A40F0CDA-BB1F-4F58-AE46-9413AF063814}">
      <text>
        <r>
          <rPr>
            <sz val="9"/>
            <color indexed="81"/>
            <rFont val="Tahoma"/>
            <family val="2"/>
          </rPr>
          <t>Write lock: "customer_register_lock_wr"_x000D_
Read lock: "customer_register_lock_rd"</t>
        </r>
      </text>
    </comment>
    <comment ref="L59" authorId="0" shapeId="0" xr:uid="{C65E2313-5345-42F3-9033-6A9379048A68}">
      <text>
        <r>
          <rPr>
            <sz val="9"/>
            <color indexed="81"/>
            <rFont val="Tahoma"/>
            <family val="2"/>
          </rPr>
          <t>Field Name: lin03_x000D_
Access Mode:RW_x000D_
Description:Linearization table entry 3._x000D_
 {hdl_path lin03_q}</t>
        </r>
      </text>
    </comment>
    <comment ref="Y59" authorId="0" shapeId="0" xr:uid="{2F5580C0-98AE-4A94-96A0-C8A74D8D7F5B}">
      <text>
        <r>
          <rPr>
            <sz val="9"/>
            <color indexed="81"/>
            <rFont val="Tahoma"/>
            <family val="2"/>
          </rPr>
          <t>Field Name: lin02_x000D_
Access Mode:RW_x000D_
Description:Linearization table entry 2._x000D_
 {hdl_path lin02_q}</t>
        </r>
      </text>
    </comment>
    <comment ref="D60" authorId="0" shapeId="0" xr:uid="{DF2FE088-E8EA-4C33-A2B7-00E71A9E53D4}">
      <text>
        <r>
          <rPr>
            <sz val="9"/>
            <color indexed="81"/>
            <rFont val="Tahoma"/>
            <family val="2"/>
          </rPr>
          <t>Write lock: "customer_register_lock_wr"_x000D_
Read lock: "customer_register_lock_rd"</t>
        </r>
      </text>
    </comment>
    <comment ref="L60" authorId="0" shapeId="0" xr:uid="{F02EFE34-29A9-45E2-86B6-31F96553A1FE}">
      <text>
        <r>
          <rPr>
            <sz val="9"/>
            <color indexed="81"/>
            <rFont val="Tahoma"/>
            <family val="2"/>
          </rPr>
          <t>Field Name: lin05_x000D_
Access Mode:RW_x000D_
Description:Linearization table entry 5._x000D_
 {hdl_path lin05_q}</t>
        </r>
      </text>
    </comment>
    <comment ref="Y60" authorId="0" shapeId="0" xr:uid="{5691B339-7317-456B-AF8E-B5178AD9A8C0}">
      <text>
        <r>
          <rPr>
            <sz val="9"/>
            <color indexed="81"/>
            <rFont val="Tahoma"/>
            <family val="2"/>
          </rPr>
          <t>Field Name: lin04_x000D_
Access Mode:RW_x000D_
Description:Linearization table entry 4._x000D_
 {hdl_path lin04_q}</t>
        </r>
      </text>
    </comment>
    <comment ref="D61" authorId="0" shapeId="0" xr:uid="{578D2F62-9316-4066-B853-E16D953C0A80}">
      <text>
        <r>
          <rPr>
            <sz val="9"/>
            <color indexed="81"/>
            <rFont val="Tahoma"/>
            <family val="2"/>
          </rPr>
          <t>Write lock: "customer_register_lock_wr"_x000D_
Read lock: "customer_register_lock_rd"</t>
        </r>
      </text>
    </comment>
    <comment ref="L61" authorId="0" shapeId="0" xr:uid="{5C8A62BC-B56E-40DD-9CA3-62A8B43C0FB4}">
      <text>
        <r>
          <rPr>
            <sz val="9"/>
            <color indexed="81"/>
            <rFont val="Tahoma"/>
            <family val="2"/>
          </rPr>
          <t>Field Name: lin07_x000D_
Access Mode:RW_x000D_
Description:Linearization table entry 7._x000D_
 {hdl_path lin07_q}</t>
        </r>
      </text>
    </comment>
    <comment ref="Y61" authorId="0" shapeId="0" xr:uid="{6B28666C-778F-4161-9381-29C91207FE6F}">
      <text>
        <r>
          <rPr>
            <sz val="9"/>
            <color indexed="81"/>
            <rFont val="Tahoma"/>
            <family val="2"/>
          </rPr>
          <t>Field Name: lin06_x000D_
Access Mode:RW_x000D_
Description:Linearization table entry 6._x000D_
 {hdl_path lin06_q}</t>
        </r>
      </text>
    </comment>
    <comment ref="D62" authorId="0" shapeId="0" xr:uid="{5D2FDD60-8A58-4B77-AEAA-EE43B91CF48E}">
      <text>
        <r>
          <rPr>
            <sz val="9"/>
            <color indexed="81"/>
            <rFont val="Tahoma"/>
            <family val="2"/>
          </rPr>
          <t>Write lock: "customer_register_lock_wr"_x000D_
Read lock: "customer_register_lock_rd"</t>
        </r>
      </text>
    </comment>
    <comment ref="L62" authorId="0" shapeId="0" xr:uid="{72D01F2A-FFF5-46DF-8FAB-4C6464E1CCAD}">
      <text>
        <r>
          <rPr>
            <sz val="9"/>
            <color indexed="81"/>
            <rFont val="Tahoma"/>
            <family val="2"/>
          </rPr>
          <t>Field Name: lin09_x000D_
Access Mode:RW_x000D_
Description:Linearization table entry 9._x000D_
 {hdl_path lin09_q}</t>
        </r>
      </text>
    </comment>
    <comment ref="Y62" authorId="0" shapeId="0" xr:uid="{CBBAC083-AE9F-48F2-AC33-124A47B6CECF}">
      <text>
        <r>
          <rPr>
            <sz val="9"/>
            <color indexed="81"/>
            <rFont val="Tahoma"/>
            <family val="2"/>
          </rPr>
          <t>Field Name: lin08_x000D_
Access Mode:RW_x000D_
Description:Linearization table entry 8._x000D_
 {hdl_path lin08_q}</t>
        </r>
      </text>
    </comment>
    <comment ref="D63" authorId="0" shapeId="0" xr:uid="{40941FF1-7539-44C5-A20F-DA5BB9CFFF18}">
      <text>
        <r>
          <rPr>
            <sz val="9"/>
            <color indexed="81"/>
            <rFont val="Tahoma"/>
            <family val="2"/>
          </rPr>
          <t>Write lock: "customer_register_lock_wr"_x000D_
Read lock: "customer_register_lock_rd"</t>
        </r>
      </text>
    </comment>
    <comment ref="L63" authorId="0" shapeId="0" xr:uid="{37711BA6-F7A5-45B8-9873-A9FFF4C3409B}">
      <text>
        <r>
          <rPr>
            <sz val="9"/>
            <color indexed="81"/>
            <rFont val="Tahoma"/>
            <family val="2"/>
          </rPr>
          <t>Field Name: lin11_x000D_
Access Mode:RW_x000D_
Description:Linearization table entry 11._x000D_
 {hdl_path lin11_q}</t>
        </r>
      </text>
    </comment>
    <comment ref="Y63" authorId="0" shapeId="0" xr:uid="{E69435DE-DAD0-4876-B71D-2F2BB19D8D05}">
      <text>
        <r>
          <rPr>
            <sz val="9"/>
            <color indexed="81"/>
            <rFont val="Tahoma"/>
            <family val="2"/>
          </rPr>
          <t>Field Name: lin10_x000D_
Access Mode:RW_x000D_
Description:Linearization table entry 10._x000D_
 {hdl_path lin10_q}</t>
        </r>
      </text>
    </comment>
    <comment ref="D64" authorId="0" shapeId="0" xr:uid="{9028C5AB-A2C2-4D09-BEA1-7E8889AC621F}">
      <text>
        <r>
          <rPr>
            <sz val="9"/>
            <color indexed="81"/>
            <rFont val="Tahoma"/>
            <family val="2"/>
          </rPr>
          <t>Write lock: "customer_register_lock_wr"_x000D_
Read lock: "customer_register_lock_rd"</t>
        </r>
      </text>
    </comment>
    <comment ref="L64" authorId="0" shapeId="0" xr:uid="{F63FA340-A735-4C34-BF98-E700CC11AE32}">
      <text>
        <r>
          <rPr>
            <sz val="9"/>
            <color indexed="81"/>
            <rFont val="Tahoma"/>
            <family val="2"/>
          </rPr>
          <t>Field Name: lin13_x000D_
Access Mode:RW_x000D_
Description:Linearization table entry 13._x000D_
 {hdl_path lin13_q}</t>
        </r>
      </text>
    </comment>
    <comment ref="Y64" authorId="0" shapeId="0" xr:uid="{9716590E-9520-4082-B4F4-890ACB83F1B5}">
      <text>
        <r>
          <rPr>
            <sz val="9"/>
            <color indexed="81"/>
            <rFont val="Tahoma"/>
            <family val="2"/>
          </rPr>
          <t>Field Name: lin12_x000D_
Access Mode:RW_x000D_
Description:Linearization table entry 12._x000D_
 {hdl_path lin12_q}</t>
        </r>
      </text>
    </comment>
    <comment ref="D65" authorId="0" shapeId="0" xr:uid="{E53BF38B-4814-4C44-876E-D9CDCD1932D9}">
      <text>
        <r>
          <rPr>
            <sz val="9"/>
            <color indexed="81"/>
            <rFont val="Tahoma"/>
            <family val="2"/>
          </rPr>
          <t>Write lock: "customer_register_lock_wr"_x000D_
Read lock: "customer_register_lock_rd"</t>
        </r>
      </text>
    </comment>
    <comment ref="L65" authorId="0" shapeId="0" xr:uid="{BB87CEAD-0C16-4E19-AD90-A84EEEE71CFF}">
      <text>
        <r>
          <rPr>
            <sz val="9"/>
            <color indexed="81"/>
            <rFont val="Tahoma"/>
            <family val="2"/>
          </rPr>
          <t>Field Name: lin15_x000D_
Access Mode:RW_x000D_
Description:Linearization table entry 15._x000D_
 {hdl_path lin15_q}</t>
        </r>
      </text>
    </comment>
    <comment ref="Y65" authorId="0" shapeId="0" xr:uid="{4C248720-DCB5-435F-9242-9536D2184E61}">
      <text>
        <r>
          <rPr>
            <sz val="9"/>
            <color indexed="81"/>
            <rFont val="Tahoma"/>
            <family val="2"/>
          </rPr>
          <t>Field Name: lin14_x000D_
Access Mode:RW_x000D_
Description:Linearization table entry 14._x000D_
 {hdl_path lin14_q}</t>
        </r>
      </text>
    </comment>
    <comment ref="D66" authorId="0" shapeId="0" xr:uid="{E1297EAA-BD60-45FC-87FB-3F56308E65D5}">
      <text>
        <r>
          <rPr>
            <sz val="9"/>
            <color indexed="81"/>
            <rFont val="Tahoma"/>
            <family val="2"/>
          </rPr>
          <t>Write lock: "customer_register_lock_wr"_x000D_
Read lock: "customer_register_lock_rd"</t>
        </r>
      </text>
    </comment>
    <comment ref="L66" authorId="0" shapeId="0" xr:uid="{2BBA67AD-E402-450B-B6AC-419E76992780}">
      <text>
        <r>
          <rPr>
            <sz val="9"/>
            <color indexed="81"/>
            <rFont val="Tahoma"/>
            <family val="2"/>
          </rPr>
          <t>Field Name: sh_fill_me_1b_x000D_
Access Mode:RW_x000D_
Description:Reserved as spare._x000D_
 {hdl_path sh_fill_me_1b_q}</t>
        </r>
      </text>
    </comment>
    <comment ref="O66" authorId="0" shapeId="0" xr:uid="{39687194-409C-4835-BC25-C179141E50E7}">
      <text>
        <r>
          <rPr>
            <sz val="9"/>
            <color indexed="81"/>
            <rFont val="Tahoma"/>
            <family val="2"/>
          </rPr>
          <t>Field Name: fhss_e_x000D_
Access Mode:RW_x000D_
Description:When '1', frequency hopping spread sprectrum is enabled._x000D_
 {hdl_path fhss_e_q}</t>
        </r>
      </text>
    </comment>
    <comment ref="P66" authorId="0" shapeId="0" xr:uid="{45E0A6EC-07E7-4BF5-A242-0E21F42128CF}">
      <text>
        <r>
          <rPr>
            <sz val="9"/>
            <color indexed="81"/>
            <rFont val="Tahoma"/>
            <family val="2"/>
          </rPr>
          <t>Field Name: coil_freq_x000D_
Access Mode:RW_x000D_
Description:Main coil frequency selection when fhss_e = '0'._x000D_
Secondary coil frequency selection during ABIST or trimming. _x000D_
'000': ???._x000D_
'001': ???._x000D_
'010': ???._x000D_
'011': ???._x000D_
'100': ???._x000D_
'101': ???._x000D_
'110': ???._x000D_
'111': ???._x000D_
 {hdl_path coil_freq_q}</t>
        </r>
      </text>
    </comment>
    <comment ref="S66" authorId="0" shapeId="0" xr:uid="{33A5AD71-0E3E-4EEA-A51D-0EE79C45CEC8}">
      <text>
        <r>
          <rPr>
            <sz val="9"/>
            <color indexed="81"/>
            <rFont val="Tahoma"/>
            <family val="2"/>
          </rPr>
          <t>Field Name: bw_sel_e_x000D_
Access Mode:RW_x000D_
Description:When '1', bandwidth selection filter is enabled. Otherwise, bypass it._x000D_
 {hdl_path bw_sel_e_q}</t>
        </r>
      </text>
    </comment>
    <comment ref="T66" authorId="0" shapeId="0" xr:uid="{2DCC6585-E9AF-428C-906C-2A1E8293CACA}">
      <text>
        <r>
          <rPr>
            <sz val="9"/>
            <color indexed="81"/>
            <rFont val="Tahoma"/>
            <family val="2"/>
          </rPr>
          <t>Field Name: bw_sel_x000D_
Access Mode:RW_x000D_
Description:Bandwidth selection._x000D_
'000': ._x000D_
'001': ._x000D_
'010': ._x000D_
'011': ._x000D_
'100': ._x000D_
'101': ._x000D_
'110': ._x000D_
'111': ._x000D_
 {hdl_path bw_sel_q}</t>
        </r>
      </text>
    </comment>
    <comment ref="W66" authorId="0" shapeId="0" xr:uid="{13D62EDB-F690-44A1-BF3E-05C50A54FCC9}">
      <text>
        <r>
          <rPr>
            <sz val="9"/>
            <color indexed="81"/>
            <rFont val="Tahoma"/>
            <family val="2"/>
          </rPr>
          <t>Field Name: lin_bin_x000D_
Access Mode:RW_x000D_
Description:Enable bin mode for linearization table._x000D_
 {hdl_path lin_bin_q}</t>
        </r>
      </text>
    </comment>
    <comment ref="X66" authorId="0" shapeId="0" xr:uid="{C2D2DB75-E8DF-421A-A988-E84435382283}">
      <text>
        <r>
          <rPr>
            <sz val="9"/>
            <color indexed="81"/>
            <rFont val="Tahoma"/>
            <family val="2"/>
          </rPr>
          <t>Field Name: lin_e_x000D_
Access Mode:RW_x000D_
Description:When '1', linearization table is enabled. Otherwise, bypass it._x000D_
 {hdl_path lin_e_q}</t>
        </r>
      </text>
    </comment>
    <comment ref="Y66" authorId="0" shapeId="0" xr:uid="{DF1DA564-E08F-4F13-8E31-2573B0644E45}">
      <text>
        <r>
          <rPr>
            <sz val="9"/>
            <color indexed="81"/>
            <rFont val="Tahoma"/>
            <family val="2"/>
          </rPr>
          <t>Field Name: lin16_x000D_
Access Mode:RW_x000D_
Description:Linearization table entry 16._x000D_
 {hdl_path lin16_q}</t>
        </r>
      </text>
    </comment>
    <comment ref="D67" authorId="0" shapeId="0" xr:uid="{A52285D5-BD9C-4482-8EDF-265CA3B38FF3}">
      <text>
        <r>
          <rPr>
            <sz val="9"/>
            <color indexed="81"/>
            <rFont val="Tahoma"/>
            <family val="2"/>
          </rPr>
          <t>Write lock: "customer_register_lock_wr"_x000D_
Read lock: "customer_register_lock_rd"</t>
        </r>
      </text>
    </comment>
    <comment ref="L67" authorId="0" shapeId="0" xr:uid="{0DC07D12-C010-4719-B20C-8E13DA17738B}">
      <text>
        <r>
          <rPr>
            <sz val="9"/>
            <color indexed="81"/>
            <rFont val="Tahoma"/>
            <family val="2"/>
          </rPr>
          <t>Field Name: offset_x000D_
Access Mode:RW_x000D_
Description:Offset correction (two's complement from -8192 to +8191)._x000D_
 {hdl_path offset_q}</t>
        </r>
      </text>
    </comment>
    <comment ref="Z67" authorId="0" shapeId="0" xr:uid="{81EC9B5A-6D15-4864-9558-F2C1C5AF6F60}">
      <text>
        <r>
          <rPr>
            <sz val="9"/>
            <color indexed="81"/>
            <rFont val="Tahoma"/>
            <family val="2"/>
          </rPr>
          <t>Field Name: gain_coarse_x000D_
Access Mode:RW_x000D_
Description:Coarse gain selection._x000D_
0: coarse_gain = 1_x000D_
1: coarse_gain = 2_x000D_
2: coarse_gain = 4_x000D_
3: coarse_gain = 8_x000D_
4: coarse_gain = 16_x000D_
5-7: coarse_gain = 32_x000D_
 {hdl_path gain_coarse_q}</t>
        </r>
      </text>
    </comment>
    <comment ref="AC67" authorId="0" shapeId="0" xr:uid="{A4323844-FAEB-44C8-BBC9-ACAAADA0DAA3}">
      <text>
        <r>
          <rPr>
            <sz val="9"/>
            <color indexed="81"/>
            <rFont val="Tahoma"/>
            <family val="2"/>
          </rPr>
          <t>Field Name: gain_fine_x000D_
Access Mode:RW_x000D_
Description:Fine gain selection (two's complement, from -256 to +255)._x000D_
 {hdl_path gain_fine_q}</t>
        </r>
      </text>
    </comment>
    <comment ref="D68" authorId="0" shapeId="0" xr:uid="{EFF6B93D-83B3-4A70-9053-E6A1C5589CF5}">
      <text>
        <r>
          <rPr>
            <sz val="9"/>
            <color indexed="81"/>
            <rFont val="Tahoma"/>
            <family val="2"/>
          </rPr>
          <t>Write lock: "customer_register_lock_wr"_x000D_
Read lock: "customer_register_lock_rd"</t>
        </r>
      </text>
    </comment>
    <comment ref="M68" authorId="0" shapeId="0" xr:uid="{B47248DD-0FA6-409F-A12D-7BF286E1A1DF}">
      <text>
        <r>
          <rPr>
            <sz val="9"/>
            <color indexed="81"/>
            <rFont val="Tahoma"/>
            <family val="2"/>
          </rPr>
          <t>Field Name: clamp_e_x000D_
Access Mode:RW_x000D_
Description:When '1', output clamper is enabled._x000D_
 {hdl_path clamp_e_q}</t>
        </r>
      </text>
    </comment>
    <comment ref="N68" authorId="0" shapeId="0" xr:uid="{8A38B6EA-9EBF-4A98-8868-489208B882E0}">
      <text>
        <r>
          <rPr>
            <sz val="9"/>
            <color indexed="81"/>
            <rFont val="Tahoma"/>
            <family val="2"/>
          </rPr>
          <t>Field Name: clamp_h_x000D_
Access Mode:RW_x000D_
Description:High clamper._x000D_
 {hdl_path clamp_h_q}</t>
        </r>
      </text>
    </comment>
    <comment ref="Z68" authorId="0" shapeId="0" xr:uid="{F8A8D209-9C21-4D51-970C-2396E7AAA140}">
      <text>
        <r>
          <rPr>
            <sz val="9"/>
            <color indexed="81"/>
            <rFont val="Tahoma"/>
            <family val="2"/>
          </rPr>
          <t>Field Name: clamp_l_x000D_
Access Mode:RW_x000D_
Description:Low clamper._x000D_
 {hdl_path clamp_l_q}</t>
        </r>
      </text>
    </comment>
    <comment ref="D69" authorId="0" shapeId="0" xr:uid="{AE5BFF09-EEA2-45B3-84CF-4B3F4D60BA3B}">
      <text>
        <r>
          <rPr>
            <sz val="9"/>
            <color indexed="81"/>
            <rFont val="Tahoma"/>
            <family val="2"/>
          </rPr>
          <t>Write lock: "customer_register_lock_wr"_x000D_
Read lock: "customer_register_lock_rd"</t>
        </r>
      </text>
    </comment>
    <comment ref="L69" authorId="0" shapeId="0" xr:uid="{191470CE-B5B6-4B85-8FAE-3F23C021CFF6}">
      <text>
        <r>
          <rPr>
            <sz val="9"/>
            <color indexed="81"/>
            <rFont val="Tahoma"/>
            <family val="2"/>
          </rPr>
          <t>Field Name: sh_fill_me_1e_x000D_
Access Mode:RW_x000D_
Description:Reserved as spare._x000D_
 {hdl_path sh_fill_me_1e_q}</t>
        </r>
      </text>
    </comment>
    <comment ref="R69" authorId="0" shapeId="0" xr:uid="{C7AD672B-DCEE-4B1C-A966-1E7962223C5D}">
      <text>
        <r>
          <rPr>
            <sz val="9"/>
            <color indexed="81"/>
            <rFont val="Tahoma"/>
            <family val="2"/>
          </rPr>
          <t>Field Name: coil_ovcur_e_x000D_
Access Mode:RW_x000D_
Description:When '1', main coil over current detection is disabled._x000D_
 {hdl_path coil_ovcur_e_q}</t>
        </r>
      </text>
    </comment>
    <comment ref="S69" authorId="0" shapeId="0" xr:uid="{7F5B74A0-0B44-4153-A470-EF4FC5592F0B}">
      <text>
        <r>
          <rPr>
            <sz val="9"/>
            <color indexed="81"/>
            <rFont val="Tahoma"/>
            <family val="2"/>
          </rPr>
          <t>Field Name: status_0_msk_x000D_
Access Mode:RW_x000D_
Description:Status 0 register mask. When '1', the associated error is masked._x000D_
[0]: sup_uv error._x000D_
[1]: sup_ov error._x000D_
[2]: a_sup_hv error._x000D_
[3]: a_coil_current_ov error._x000D_
[4]: Reg map error._x000D_
[5]: V1 - V2 out of range error._x000D_
[6]: V1/V2 (secondary coil) out of range error._x000D_
[7]: Digital signal path error._x000D_
 {hdl_path status_0_msk_q}</t>
        </r>
      </text>
    </comment>
    <comment ref="AA69" authorId="0" shapeId="0" xr:uid="{5434D0CE-984C-421C-8D6C-05A16FC1A5F4}">
      <text>
        <r>
          <rPr>
            <sz val="9"/>
            <color indexed="81"/>
            <rFont val="Tahoma"/>
            <family val="2"/>
          </rPr>
          <t>Field Name: diag_mode_x000D_
Access Mode:RW_x000D_
Description:When '1', any unmasked error will set the output to high-Z._x000D_
If LBIST was run, LBIST message is always transmitted prior to setting the output to high-Z._x000D_
 {hdl_path diag_mode_q}</t>
        </r>
      </text>
    </comment>
    <comment ref="AB69" authorId="0" shapeId="0" xr:uid="{9BBE51F4-2027-40FE-A4B9-16C58A32DA21}">
      <text>
        <r>
          <rPr>
            <sz val="9"/>
            <color indexed="81"/>
            <rFont val="Tahoma"/>
            <family val="2"/>
          </rPr>
          <t>Field Name: abist_ack_x000D_
Access Mode:RW_x000D_
Description:ABIST acknowledge._x000D_
 {hdl_path abist_ack_q}</t>
        </r>
      </text>
    </comment>
    <comment ref="AC69" authorId="0" shapeId="0" xr:uid="{32AE0C8B-481C-4423-9614-548DB3A8E48C}">
      <text>
        <r>
          <rPr>
            <sz val="9"/>
            <color indexed="81"/>
            <rFont val="Tahoma"/>
            <family val="2"/>
          </rPr>
          <t>Field Name: lbist_ack_x000D_
Access Mode:RW_x000D_
Description:LBIST acknowledge._x000D_
 {hdl_path lbist_ack_q}</t>
        </r>
      </text>
    </comment>
    <comment ref="AD69" authorId="0" shapeId="0" xr:uid="{67676226-B5F6-40B7-9D87-E118A72F388C}">
      <text>
        <r>
          <rPr>
            <sz val="9"/>
            <color indexed="81"/>
            <rFont val="Tahoma"/>
            <family val="2"/>
          </rPr>
          <t>Field Name: abist_e_x000D_
Access Mode:RW_x000D_
Description:ABIST enable configuration:_x000D_
\s\s\s00 - Disabled._x000D_
\s\s\s01 - Power on._x000D_
\s\s\s10 - User requested._x000D_
\s\s\s11 - Both._x000D_
(User requested can be either customer, factory or open depending where is placed bist_start volatile field)._x000D_
 {hdl_path abist_e_q}</t>
        </r>
      </text>
    </comment>
    <comment ref="AF69" authorId="0" shapeId="0" xr:uid="{862152BC-EB42-4DE7-832E-04734A65916F}">
      <text>
        <r>
          <rPr>
            <sz val="9"/>
            <color indexed="81"/>
            <rFont val="Tahoma"/>
            <family val="2"/>
          </rPr>
          <t>Field Name: lbist_e_x000D_
Access Mode:RW_x000D_
Description:LBIST enable configuration:_x000D_
\s\s\s00 - Disabled._x000D_
\s\s\s01 - Power on._x000D_
\s\s\s10 - User requested._x000D_
\s\s\s11 - Both._x000D_
(User requested can be either customer, factory or open depending where is placed bist_start volatile field)._x000D_
 {hdl_path lbist_e_q}</t>
        </r>
      </text>
    </comment>
    <comment ref="AH69" authorId="0" shapeId="0" xr:uid="{F27800A3-C347-4C5A-9AB9-E6E03B37F74B}">
      <text>
        <r>
          <rPr>
            <sz val="9"/>
            <color indexed="81"/>
            <rFont val="Tahoma"/>
            <family val="2"/>
          </rPr>
          <t>Field Name: mem_lock_x000D_
Access Mode:RW_x000D_
Description:3'b0011 - EEPROM Lock: Prevents writes to EEPROM but all registers including shadow can be written. All registers and EEPROM can be read._x000D_
3'b0110 - Write Lock: Prevents writing anything to either EEPROM or registers. All registers and EEPROM can still be read._x000D_
3'b1100 - Full Lock: Prevents all access to the device._x000D_
 {hdl_path mem_lock_q}</t>
        </r>
      </text>
    </comment>
    <comment ref="D70" authorId="0" shapeId="0" xr:uid="{E6F754A5-D71F-4073-B47D-7D01114F288C}">
      <text>
        <r>
          <rPr>
            <sz val="9"/>
            <color indexed="81"/>
            <rFont val="Tahoma"/>
            <family val="2"/>
          </rPr>
          <t>Write lock: "customer_register_lock_wr"_x000D_
Read lock: "customer_register_lock_rd"</t>
        </r>
      </text>
    </comment>
    <comment ref="N70" authorId="0" shapeId="0" xr:uid="{BE5C5494-128E-4C26-B7A3-DDFC27F2CB85}">
      <text>
        <r>
          <rPr>
            <sz val="9"/>
            <color indexed="81"/>
            <rFont val="Tahoma"/>
            <family val="2"/>
          </rPr>
          <t>Field Name: cust_word_x000D_
Access Mode:RW_x000D_
Description:Reserved as spare._x000D_
 {hdl_path cust_word_q}</t>
        </r>
      </text>
    </comment>
    <comment ref="D71" authorId="0" shapeId="0" xr:uid="{FBDCB324-1EE4-4105-9988-2F6660AAAA4E}">
      <text>
        <r>
          <rPr>
            <sz val="9"/>
            <color indexed="81"/>
            <rFont val="Tahoma"/>
            <family val="2"/>
          </rPr>
          <t>Write lock: "factory_register_lock_wr"_x000D_
Read lock: "customer_register_lock_rd"</t>
        </r>
      </text>
    </comment>
    <comment ref="F71" authorId="0" shapeId="0" xr:uid="{72D0AA04-F8BC-484E-8C98-EBA7A7103E55}">
      <text>
        <r>
          <rPr>
            <sz val="9"/>
            <color indexed="81"/>
            <rFont val="Tahoma"/>
            <family val="2"/>
          </rPr>
          <t>Field Name: cp_rup_sel_x000D_
Access Mode:RW_x000D_
Description:Selects the ramp up time for the charge pump._x000D_
 {hdl_path cp_rup_sel_q}</t>
        </r>
      </text>
    </comment>
    <comment ref="H71" authorId="0" shapeId="0" xr:uid="{71042F2B-C71C-47FF-87DA-5EA7A1C3E879}">
      <text>
        <r>
          <rPr>
            <sz val="9"/>
            <color indexed="81"/>
            <rFont val="Tahoma"/>
            <family val="2"/>
          </rPr>
          <t>Field Name: cp_hv_sel_x000D_
Access Mode:RW_x000D_
Description:Selects the time the cp_dac remains at its max value._x000D_
 {hdl_path cp_hv_sel_q}</t>
        </r>
      </text>
    </comment>
    <comment ref="J71" authorId="0" shapeId="0" xr:uid="{3B9A069C-2377-42F5-B22B-526B1B009F8B}">
      <text>
        <r>
          <rPr>
            <sz val="9"/>
            <color indexed="81"/>
            <rFont val="Tahoma"/>
            <family val="2"/>
          </rPr>
          <t>Field Name: cp_rdn_sel_x000D_
Access Mode:RW_x000D_
Description:Selects the ramp down time for the charge pump._x000D_
 {hdl_path cp_rdn_sel_q}</t>
        </r>
      </text>
    </comment>
    <comment ref="L71" authorId="0" shapeId="0" xr:uid="{89068DB7-1758-4B3E-BE49-30E979998E49}">
      <text>
        <r>
          <rPr>
            <sz val="9"/>
            <color indexed="81"/>
            <rFont val="Tahoma"/>
            <family val="2"/>
          </rPr>
          <t>Field Name: cp_dac_x000D_
Access Mode:RW_x000D_
Description:This value is driven on cp_dac[5:0] output when cp_dac_en  is set._x000D_
 {hdl_path cp_dac_q}</t>
        </r>
      </text>
    </comment>
    <comment ref="R71" authorId="0" shapeId="0" xr:uid="{F5D42957-14A7-4F60-A285-C3742E9DCC77}">
      <text>
        <r>
          <rPr>
            <sz val="9"/>
            <color indexed="81"/>
            <rFont val="Tahoma"/>
            <family val="2"/>
          </rPr>
          <t>Field Name: cp_use_dac_x000D_
Access Mode:RW_x000D_
Description:0: Normal operation_x000D_
1: The value in CP_DAC drives the cp_dac[5:0] output._x000D_
 {hdl_path cp_use_dac_q}</t>
        </r>
      </text>
    </comment>
    <comment ref="S71" authorId="0" shapeId="0" xr:uid="{2AA60976-E96E-4FB8-BB43-781FF0DE0A0B}">
      <text>
        <r>
          <rPr>
            <sz val="9"/>
            <color indexed="81"/>
            <rFont val="Tahoma"/>
            <family val="2"/>
          </rPr>
          <t>Field Name: cp_force_en_x000D_
Access Mode:RW_x000D_
Description:0: Normal operation._x000D_
1: Force cp_en output high._x000D_
 {hdl_path cp_force_en_q}</t>
        </r>
      </text>
    </comment>
    <comment ref="T71" authorId="0" shapeId="0" xr:uid="{2AF08A3A-41A2-4C67-B710-9DB4798EF8A6}">
      <text>
        <r>
          <rPr>
            <sz val="9"/>
            <color indexed="81"/>
            <rFont val="Tahoma"/>
            <family val="2"/>
          </rPr>
          <t>Field Name: ee_erase_x000D_
Access Mode:RW_x000D_
Description:Setting this bit will perform an ERASE operation only on the EEPROM the next time an EEPROM address is written. It is self clearing when the ERASE operation is complete. _x000D_
 {hdl_path ee_erase_q}</t>
        </r>
      </text>
    </comment>
    <comment ref="U71" authorId="0" shapeId="0" xr:uid="{81F53CF3-0B3E-4708-BD5A-BE2656CAAF6C}">
      <text>
        <r>
          <rPr>
            <sz val="9"/>
            <color indexed="81"/>
            <rFont val="Tahoma"/>
            <family val="2"/>
          </rPr>
          <t>Field Name: ee_prog_x000D_
Access Mode:RW_x000D_
Description:Setting this bit will perform a PROGRAM operation only on the EEPROM the next time and EEPROM address is written. If ERASE is set, this bit is ignored. It is self clearing when the PROGRAM operation is complete. _x000D_
 {hdl_path ee_prog_q}</t>
        </r>
      </text>
    </comment>
    <comment ref="V71" authorId="0" shapeId="0" xr:uid="{FD6802B2-1DB5-4C2C-82C7-4CB9B475681E}">
      <text>
        <r>
          <rPr>
            <sz val="9"/>
            <color indexed="81"/>
            <rFont val="Tahoma"/>
            <family val="2"/>
          </rPr>
          <t>Field Name: ee_noload_x000D_
Access Mode:RW_x000D_
Description:0: Normal operation _x000D_
1: Disables update of the shadow registers. Overrides reload bit. _x000D_
 {hdl_path ee_noload_q}</t>
        </r>
      </text>
    </comment>
    <comment ref="W71" authorId="0" shapeId="0" xr:uid="{8FE86368-B595-4224-A157-89035F297EAC}">
      <text>
        <r>
          <rPr>
            <sz val="9"/>
            <color indexed="81"/>
            <rFont val="Tahoma"/>
            <family val="2"/>
          </rPr>
          <t>Field Name: ee_en_override_x000D_
Access Mode:RW_x000D_
Description:0: Normal operation._x000D_
1: Force ee_en output high._x000D_
 {hdl_path ee_en_override_q}</t>
        </r>
      </text>
    </comment>
    <comment ref="X71" authorId="0" shapeId="0" xr:uid="{B59E921F-2368-4FF3-B1AA-28B146436A3E}">
      <text>
        <r>
          <rPr>
            <sz val="9"/>
            <color indexed="81"/>
            <rFont val="Tahoma"/>
            <family val="2"/>
          </rPr>
          <t>Field Name: ee_override_x000D_
Access Mode:RW_x000D_
Description:00: Normal operation_x000D_
01: Force ee_rd output high_x000D_
10: Force ee_er output high_x000D_
11: Force ee_pr output high_x000D_
 {hdl_path ee_override_q}</t>
        </r>
      </text>
    </comment>
    <comment ref="Z71" authorId="0" shapeId="0" xr:uid="{83F27D65-CDDF-4552-A029-DEDDFDC25DCA}">
      <text>
        <r>
          <rPr>
            <sz val="9"/>
            <color indexed="81"/>
            <rFont val="Tahoma"/>
            <family val="2"/>
          </rPr>
          <t>Field Name: ee_abort_x000D_
Access Mode:RW_x000D_
Description:Terminates any EEPROM write transaction immediately.  Leaves the EEPROM ready for a new transaction. _x000D_
 {hdl_path ee_abort_q}</t>
        </r>
      </text>
    </comment>
    <comment ref="AA71" authorId="0" shapeId="0" xr:uid="{50F74E5B-A99F-4F42-89B3-A5F968E77153}">
      <text>
        <r>
          <rPr>
            <sz val="9"/>
            <color indexed="81"/>
            <rFont val="Tahoma"/>
            <family val="2"/>
          </rPr>
          <t>Field Name: ee_force_dbe_x000D_
Access Mode:RW_x000D_
Description:0: Disabled._x000D_
1: Force a Multi bit error during read (inverts bits 1:0)._x000D_
 {hdl_path ee_force_dbe_q}</t>
        </r>
      </text>
    </comment>
    <comment ref="AB71" authorId="0" shapeId="0" xr:uid="{9575D24F-B725-43B3-8AAE-18A4A1419805}">
      <text>
        <r>
          <rPr>
            <sz val="9"/>
            <color indexed="81"/>
            <rFont val="Tahoma"/>
            <family val="2"/>
          </rPr>
          <t>Field Name: ee_force_sbe_x000D_
Access Mode:RW_x000D_
Description:0: Disabled._x000D_
1: Force a Single bit error during read (inverts bit 0). Takes precedence over ee_force_dbe. _x000D_
 {hdl_path ee_force_sbe_q}</t>
        </r>
      </text>
    </comment>
    <comment ref="AC71" authorId="0" shapeId="0" xr:uid="{4D2CD717-021C-4702-83D5-B060CCE8DB39}">
      <text>
        <r>
          <rPr>
            <sz val="9"/>
            <color indexed="81"/>
            <rFont val="Tahoma"/>
            <family val="2"/>
          </rPr>
          <t>Field Name: ee_raw_ecc_x000D_
Access Mode:RW_x000D_
Description:0: ECC bits encode error information_x000D_
\s\s\s\sECC bit 2: 1 if single bit error, 0 if no error._x000D_
\s\s\s\sECC bit 3: 1 if double bit error, 0 if not error._x000D_
\s\s\s\sAll other ecc bits are always 0._x000D_
1: ECC bits return the ECC code (top bits in EEPROM)._x000D_
 {hdl_path ee_raw_ecc_q}</t>
        </r>
      </text>
    </comment>
    <comment ref="AD71" authorId="0" shapeId="0" xr:uid="{B8B73F03-0246-4A9A-BC26-99449D73C8FF}">
      <text>
        <r>
          <rPr>
            <sz val="9"/>
            <color indexed="81"/>
            <rFont val="Tahoma"/>
            <family val="2"/>
          </rPr>
          <t>Field Name: ee_dis_ecc_x000D_
Access Mode:RW_x000D_
Description:0: Correct Single bit errors when they occur._x000D_
1: Do not correct single bit errors._x000D_
 {hdl_path ee_dis_ecc_q}</t>
        </r>
      </text>
    </comment>
    <comment ref="AE71" authorId="0" shapeId="0" xr:uid="{06BBE1F4-2280-427A-BF11-12D1471BFE23}">
      <text>
        <r>
          <rPr>
            <sz val="9"/>
            <color indexed="81"/>
            <rFont val="Tahoma"/>
            <family val="2"/>
          </rPr>
          <t>Field Name: ee_no_ecc_x000D_
Access Mode:RW_x000D_
Description:0: Upper bits of EEPROM is written with ECC bits. _x000D_
1: EEPROM is written with all bits of raw data. During a read, all bits of raw data is returned._x000D_
 {hdl_path ee_no_ecc_q}</t>
        </r>
      </text>
    </comment>
    <comment ref="AF71" authorId="0" shapeId="0" xr:uid="{5C62F15F-5891-49CC-86A8-AA6BF81F1D4A}">
      <text>
        <r>
          <rPr>
            <sz val="9"/>
            <color indexed="81"/>
            <rFont val="Tahoma"/>
            <family val="2"/>
          </rPr>
          <t>Field Name: ee_block_mode_x000D_
Access Mode:RW_x000D_
Description:00: Single Word Write Access_x000D_
01: Odd Word Write Access (address ignored)._x000D_
10: Even Word Write Access (address ignored)._x000D_
11: All Word Write Access (address ignored)._x000D_
This field only affects write operations._x000D_
_x000D_
_x000D_
 {hdl_path ee_block_mode_q} {output_coupling true} {scan_val 0}</t>
        </r>
      </text>
    </comment>
    <comment ref="AH71" authorId="0" shapeId="0" xr:uid="{E4C9F89E-69DA-49B0-8E5B-7AE84B8A77AD}">
      <text>
        <r>
          <rPr>
            <sz val="9"/>
            <color indexed="81"/>
            <rFont val="Tahoma"/>
            <family val="2"/>
          </rPr>
          <t>Field Name: ee_vread_x000D_
Access Mode:RW_x000D_
Description:EEPROM read voltage for cell margining. Refer to EEPROM Spec v3.0._x000D_
_x000D_
_x000D_
 {hdl_path ee_vread_q} {output_coupling true} {scan_val 0}</t>
        </r>
      </text>
    </comment>
    <comment ref="AK71" authorId="0" shapeId="0" xr:uid="{D0680043-C479-4E80-B7A8-4F9959930A88}">
      <text>
        <r>
          <rPr>
            <sz val="9"/>
            <color indexed="81"/>
            <rFont val="Tahoma"/>
            <family val="2"/>
          </rPr>
          <t>Field Name: ee_force_reload_x000D_
Access Mode:RW_x000D_
Description:When set the chip will initiate a Shadow Reload. This bit will clear when complete.  _x000D_
 {hdl_path ee_force_reload_q}</t>
        </r>
      </text>
    </comment>
    <comment ref="D72" authorId="0" shapeId="0" xr:uid="{8BFDD0BF-7055-4556-A253-EB6F9F3209A0}">
      <text>
        <r>
          <rPr>
            <sz val="9"/>
            <color indexed="81"/>
            <rFont val="Tahoma"/>
            <family val="2"/>
          </rPr>
          <t>Write lock: "factory_register_lock_wr"_x000D_
Read lock: "customer_register_lock_rd"</t>
        </r>
      </text>
    </comment>
    <comment ref="R72" authorId="0" shapeId="0" xr:uid="{AC5DF955-676D-4D50-989D-F8912CBA4DDC}">
      <text>
        <r>
          <rPr>
            <sz val="9"/>
            <color indexed="81"/>
            <rFont val="Tahoma"/>
            <family val="2"/>
          </rPr>
          <t>Field Name: ee_dbe_flag_x000D_
Access Mode:RW_x000D_
Description:Latched and held high when a DBE has occurred._x000D_
 {hdl_path ee_dbe_flag_q}</t>
        </r>
      </text>
    </comment>
    <comment ref="S72" authorId="0" shapeId="0" xr:uid="{84BAD2CB-0D76-413F-8C91-8621E9C8DBA9}">
      <text>
        <r>
          <rPr>
            <sz val="9"/>
            <color indexed="81"/>
            <rFont val="Tahoma"/>
            <family val="2"/>
          </rPr>
          <t>Field Name: ee_sbe_flag_x000D_
Access Mode:RW_x000D_
Description:Latched and held high when a SBE has occurred._x000D_
 {hdl_path ee_sbe_flag_q}</t>
        </r>
      </text>
    </comment>
    <comment ref="T72" authorId="0" shapeId="0" xr:uid="{FA9AC6D0-3761-406A-B51D-28055BF27690}">
      <text>
        <r>
          <rPr>
            <sz val="9"/>
            <color indexed="81"/>
            <rFont val="Tahoma"/>
            <family val="2"/>
          </rPr>
          <t>Field Name: ee_ecc_x000D_
Access Mode:RW_x000D_
Description:Reflects bits [29:24] to be written to the EEPROM or read from the EEPROM. This allows for a manual write to the EEPROM or will contain data read from the EEPROM if margining or self check fails._x000D_
 {hdl_path ee_ecc_q}</t>
        </r>
      </text>
    </comment>
    <comment ref="Z72" authorId="0" shapeId="0" xr:uid="{491EDE74-D83E-406F-BA08-FC63A268F5D6}">
      <text>
        <r>
          <rPr>
            <sz val="9"/>
            <color indexed="81"/>
            <rFont val="Tahoma"/>
            <family val="2"/>
          </rPr>
          <t>Field Name: ee_addr_x000D_
Access Mode:RW_x000D_
Description:Reflects the read/write address to the EEPROM. This allows for a manual write to the EEPROM or will contain data read from the EEPROM if margining or self check fails._x000D_
The default value must point to the POR trimming data._x000D_
 {hdl_path ee_addr_q}</t>
        </r>
      </text>
    </comment>
    <comment ref="AE72" authorId="0" shapeId="0" xr:uid="{723E3B9D-4C4C-4095-9913-26C3DEEC1771}">
      <text>
        <r>
          <rPr>
            <sz val="9"/>
            <color indexed="81"/>
            <rFont val="Tahoma"/>
            <family val="2"/>
          </rPr>
          <t>Field Name: ee_err_status_x000D_
Access Mode:RO_x000D_
Description:Status of the most recent EEPROM write error._x000D_
Bit[4]:_x000D_
0: error occurred during erase._x000D_
1: error occurred during program._x000D_
Bit[3]:_x000D_
0: error occurred during ramp up._x000D_
1: error occurred during ramp down._x000D_
Bit 2: program pulse value._x000D_
Bit 1: hlat value._x000D_
Bit 0: llat value._x000D_
 {hdl_path ee_err_status_q}</t>
        </r>
      </text>
    </comment>
    <comment ref="AJ72" authorId="0" shapeId="0" xr:uid="{87CCAB1D-00D5-4FB9-BC63-13C81C630D50}">
      <text>
        <r>
          <rPr>
            <sz val="9"/>
            <color indexed="81"/>
            <rFont val="Tahoma"/>
            <family val="2"/>
          </rPr>
          <t>Field Name: cp_err_x000D_
Access Mode:RC_x000D_
Description:High to indicate an error occurred during charge pump ramp. ee_err_status stores information about the error. This bit is latch and hold with clear on read._x000D_
 {hdl_path cp_err_q}</t>
        </r>
      </text>
    </comment>
    <comment ref="AK72" authorId="0" shapeId="0" xr:uid="{E54F424C-2F98-40F8-9E07-8582B72B9133}">
      <text>
        <r>
          <rPr>
            <sz val="9"/>
            <color indexed="81"/>
            <rFont val="Tahoma"/>
            <family val="2"/>
          </rPr>
          <t>Field Name: ee_err_x000D_
Access Mode:RC_x000D_
Description:Indicates an EEPROM write error occurred. This bit is latch and hold with clear on read._x000D_
 {hdl_path ee_err_q}</t>
        </r>
      </text>
    </comment>
    <comment ref="D73" authorId="0" shapeId="0" xr:uid="{7867666A-78D9-404B-895A-3FAD9A3C0038}">
      <text>
        <r>
          <rPr>
            <sz val="9"/>
            <color indexed="81"/>
            <rFont val="Tahoma"/>
            <family val="2"/>
          </rPr>
          <t>Write lock: "factory_register_lock_wr"_x000D_
Read lock: "customer_register_lock_rd"</t>
        </r>
      </text>
    </comment>
    <comment ref="L73" authorId="0" shapeId="0" xr:uid="{67DB0672-4A8F-4D4E-92C0-69DF636A7F56}">
      <text>
        <r>
          <rPr>
            <sz val="9"/>
            <color indexed="81"/>
            <rFont val="Tahoma"/>
            <family val="2"/>
          </rPr>
          <t>Field Name: ee_data_x000D_
Access Mode:RW_x000D_
Description:Contains the data for an EEPROM access. On a write this register contains the written data, on a read this register contains the read data. This allows for a manual write to the EEPROM or will contain data read from the EEPROM if margining or self check fails._x000D_
 {hdl_path ee_data_q}</t>
        </r>
      </text>
    </comment>
    <comment ref="D74" authorId="0" shapeId="0" xr:uid="{C3BD9671-4C9C-408B-9B02-3554A2F1B46B}">
      <text>
        <r>
          <rPr>
            <sz val="9"/>
            <color indexed="81"/>
            <rFont val="Tahoma"/>
            <family val="2"/>
          </rPr>
          <t>Write lock: "(factory_register_lock_wr_x000D_
Read lock: ||</t>
        </r>
      </text>
    </comment>
    <comment ref="Y74" authorId="0" shapeId="0" xr:uid="{A5F14BE0-6164-461E-AAC7-4CEAA204ED76}">
      <text>
        <r>
          <rPr>
            <sz val="9"/>
            <color indexed="81"/>
            <rFont val="Tahoma"/>
            <family val="2"/>
          </rPr>
          <t>Field Name: ee_loop_x000D_
Access Mode:RW_x000D_
Description:Causes margin or pattern testing to loop until an error is found._x000D_
 {hdl_path ee_loop_q}</t>
        </r>
      </text>
    </comment>
    <comment ref="Z74" authorId="0" shapeId="0" xr:uid="{4F45D497-0E69-4375-96B4-CD29A1A42E6E}">
      <text>
        <r>
          <rPr>
            <sz val="9"/>
            <color indexed="81"/>
            <rFont val="Tahoma"/>
            <family val="2"/>
          </rPr>
          <t>Field Name: ee_test_addr_x000D_
Access Mode:RW_x000D_
Description:If ee_use_tst_addr is set, then margining or pattern test will start at this address. If the test fails, this will contain the failing address. _x000D_
 {hdl_path ee_test_addr_q}</t>
        </r>
      </text>
    </comment>
    <comment ref="AE74" authorId="0" shapeId="0" xr:uid="{925D41E1-A3C3-47EA-964F-6108DB72A7F0}">
      <text>
        <r>
          <rPr>
            <sz val="9"/>
            <color indexed="81"/>
            <rFont val="Tahoma"/>
            <family val="2"/>
          </rPr>
          <t>Field Name: ee_use_test_addr_x000D_
Access Mode:RW_x000D_
Description:0: No effect._x000D_
1: Uses ee_test_addr as the start address for margining. _x000D_
If ee_loop is set, this bit is ignored and the starting address is always 0x0_x000D_
 {hdl_path ee_use_test_addr_q}</t>
        </r>
      </text>
    </comment>
    <comment ref="AF74" authorId="0" shapeId="0" xr:uid="{EA3D1B33-D470-4696-B071-C4B314B5A386}">
      <text>
        <r>
          <rPr>
            <sz val="9"/>
            <color indexed="81"/>
            <rFont val="Tahoma"/>
            <family val="2"/>
          </rPr>
          <t>Field Name: margin_min_max_fail_x000D_
Access Mode:RO_x000D_
Description:If margining fails, this bit indicates if the min or max reference failed._x000D_
0: Min margining failed._x000D_
1: Max margining failed. _x000D_
 {hdl_path margin_min_max_fail_q}</t>
        </r>
      </text>
    </comment>
    <comment ref="AG74" authorId="0" shapeId="0" xr:uid="{54A4BBD4-09A8-48E0-945F-BD6713440CBE}">
      <text>
        <r>
          <rPr>
            <sz val="9"/>
            <color indexed="81"/>
            <rFont val="Tahoma"/>
            <family val="2"/>
          </rPr>
          <t>Field Name: margin_status_x000D_
Access Mode:RO_x000D_
Description:Bits are cleared after a read or reset._x000D_
\s\s00: Reset condition (no result from margin testing)._x000D_
\s\s01: Pass, no failure detected during margin testing._x000D_
\s\s10: Fail, failure detected during margin testing._x000D_
\s\s11: Running, margin test is still running._x000D_
 {hdl_path margin_status_q}</t>
        </r>
      </text>
    </comment>
    <comment ref="AI74" authorId="0" shapeId="0" xr:uid="{45AA028F-1FAB-446D-9BCA-F71EED9B13EE}">
      <text>
        <r>
          <rPr>
            <sz val="9"/>
            <color indexed="81"/>
            <rFont val="Tahoma"/>
            <family val="2"/>
          </rPr>
          <t>Field Name: margin_no_min_x000D_
Access Mode:RW_x000D_
Description:Does not perform minimum margin testing._x000D_
0: Margining done a min voltage._x000D_
1: No margining at min voltage._x000D_
 {hdl_path margin_no_min_q}</t>
        </r>
      </text>
    </comment>
    <comment ref="AJ74" authorId="0" shapeId="0" xr:uid="{741D6E7C-C3D6-4F36-A2C2-B71515D7B1D2}">
      <text>
        <r>
          <rPr>
            <sz val="9"/>
            <color indexed="81"/>
            <rFont val="Tahoma"/>
            <family val="2"/>
          </rPr>
          <t>Field Name: margin_no_max_x000D_
Access Mode:RW_x000D_
Description:Does not perform maximum margin testing._x000D_
0: Margining done a max voltage._x000D_
1: No margining at max voltage._x000D_
 {hdl_path margin_no_max_q}</t>
        </r>
      </text>
    </comment>
    <comment ref="AK74" authorId="0" shapeId="0" xr:uid="{989AA254-D2B8-44F5-BF21-15F1254C0518}">
      <text>
        <r>
          <rPr>
            <sz val="9"/>
            <color indexed="81"/>
            <rFont val="Tahoma"/>
            <family val="2"/>
          </rPr>
          <t>Field Name: margin_start_x000D_
Access Mode:RW_x000D_
Description:Write to 1 to start margin testing. If EE_LOOP is low, this bit will self clear when address 0xB is reached. If EE_LOOP is high, this bit must be written to 0 to stop test. This bit always clears on a fail._x000D_
 {hdl_path margin_start_q}</t>
        </r>
      </text>
    </comment>
    <comment ref="D75" authorId="0" shapeId="0" xr:uid="{3E390509-1BA0-4056-8569-7EEF8A039E22}">
      <text>
        <r>
          <rPr>
            <sz val="9"/>
            <color indexed="81"/>
            <rFont val="Tahoma"/>
            <family val="2"/>
          </rPr>
          <t>Write lock: "factory_register_lock_wr"_x000D_
Read lock: "customer_register_lock_rd"</t>
        </r>
      </text>
    </comment>
    <comment ref="AG75" authorId="0" shapeId="0" xr:uid="{F40E2C6C-C0C5-41A4-9A38-A795C9C7A936}">
      <text>
        <r>
          <rPr>
            <sz val="9"/>
            <color indexed="81"/>
            <rFont val="Tahoma"/>
            <family val="2"/>
          </rPr>
          <t>Field Name: pat_test_pattern_x000D_
Access Mode:RW_x000D_
Description:Defines the pattern that will be checked when reading the EEPROM._x000D_
00: All 0s._x000D_
01: All 1s._x000D_
10: Checker board starting at 0x0 with '010101.'_x000D_
11: Checker board starting at 0x0 with '101010.' _x000D_
 {hdl_path pat_test_pattern_q}</t>
        </r>
      </text>
    </comment>
    <comment ref="AI75" authorId="0" shapeId="0" xr:uid="{462ACE5A-1A9B-4E25-8AD3-EFD51BDE5367}">
      <text>
        <r>
          <rPr>
            <sz val="9"/>
            <color indexed="81"/>
            <rFont val="Tahoma"/>
            <family val="2"/>
          </rPr>
          <t>Field Name: pat_test_status_x000D_
Access Mode:RO_x000D_
Description:00: Reset condition (no result from pat testing)._x000D_
01: Pass, no failure detected during pat testing._x000D_
10: Fail, failure detected during pat testing._x000D_
11: Running, pat test is still running._x000D_
 {hdl_path pat_test_status_q}</t>
        </r>
      </text>
    </comment>
    <comment ref="AK75" authorId="0" shapeId="0" xr:uid="{4CA5CD1E-663F-4452-A3AD-BC2FB3BCFA50}">
      <text>
        <r>
          <rPr>
            <sz val="9"/>
            <color indexed="81"/>
            <rFont val="Tahoma"/>
            <family val="2"/>
          </rPr>
          <t>Field Name: pat_test_start_x000D_
Access Mode:RW_x000D_
Description:Write to 1 to start pattern check testing. If EE_LOOP is low, this bit will self clear when address 0xB is reached. If EE_LOOP is high, this bit must be written to 0 to stop test. This bit always clears on a fail._x000D_
_x000D_
 {hdl_path pat_test_start_q} {u_block_volatile_output true}</t>
        </r>
      </text>
    </comment>
    <comment ref="D76" authorId="0" shapeId="0" xr:uid="{F3D2919D-ED34-4111-B75E-FA9205EADB92}">
      <text>
        <r>
          <rPr>
            <sz val="9"/>
            <color indexed="81"/>
            <rFont val="Tahoma"/>
            <family val="2"/>
          </rPr>
          <t>Write lock: "factory_register_lock_wr"_x000D_
Read lock: "customer_register_lock_rd"</t>
        </r>
      </text>
    </comment>
    <comment ref="F76" authorId="0" shapeId="0" xr:uid="{B2024017-9579-4399-92A0-A1E67A7C69E1}">
      <text>
        <r>
          <rPr>
            <sz val="9"/>
            <color indexed="81"/>
            <rFont val="Tahoma"/>
            <family val="2"/>
          </rPr>
          <t>Field Name: soft_rst_x000D_
Access Mode:WO_x000D_
Description:When '1' is written, the digital signal path is reset._x000D_
When is read, always returns '0'._x000D_
_x000D_
 {hdl_path u_dig_top.u_dft_wrapper.u_scan_wrapper.u_functional_top.u_ids_top.u_direct_regmap.volatile_dft_soft_rst_q} {u_block_volatile_output true}</t>
        </r>
      </text>
    </comment>
    <comment ref="G76" authorId="0" shapeId="0" xr:uid="{B7AA1F11-3EF9-4F28-9741-8B3ACB78C162}">
      <text>
        <r>
          <rPr>
            <sz val="9"/>
            <color indexed="81"/>
            <rFont val="Tahoma"/>
            <family val="2"/>
          </rPr>
          <t>Field Name: stop_x000D_
Access Mode:RW_x000D_
Description:When '1' the digital signal path is stopped._x000D_
_x000D_
 {hdl_path u_dig_top.u_dft_wrapper.u_scan_wrapper.u_functional_top.u_ids_top.u_direct_regmap.volatile_dft_stop_q} {u_block_volatile_output true}</t>
        </r>
      </text>
    </comment>
    <comment ref="H76" authorId="0" shapeId="0" xr:uid="{80C42312-ABB4-411C-AFCF-43BED1E0EA17}">
      <text>
        <r>
          <rPr>
            <sz val="9"/>
            <color indexed="81"/>
            <rFont val="Tahoma"/>
            <family val="2"/>
          </rPr>
          <t>Field Name: run_step_x000D_
Access Mode:WO_x000D_
Description:When dsp_stop='1', by writing '1' to the dsp_run_step will run the digital signal path by one clock cycle._x000D_
_x000D_
 {hdl_path u_dig_top.u_dft_wrapper.u_scan_wrapper.u_functional_top.u_ids_top.u_direct_regmap.volatile_dft_run_step_q} {u_block_volatile_output true}</t>
        </r>
      </text>
    </comment>
    <comment ref="AE76" authorId="0" shapeId="0" xr:uid="{4FF05D82-3FED-4823-9007-69839A06FD16}">
      <text>
        <r>
          <rPr>
            <sz val="9"/>
            <color indexed="81"/>
            <rFont val="Tahoma"/>
            <family val="2"/>
          </rPr>
          <t>Field Name: abist_pass1_fail0_x000D_
Access Mode:RO_x000D_
Description:ABIST pass._x000D_
 {registered false}</t>
        </r>
      </text>
    </comment>
    <comment ref="AF76" authorId="0" shapeId="0" xr:uid="{296D2161-F41F-4A40-BA59-25A1B211C690}">
      <text>
        <r>
          <rPr>
            <sz val="9"/>
            <color indexed="81"/>
            <rFont val="Tahoma"/>
            <family val="2"/>
          </rPr>
          <t>Field Name: lbist_pass1_fail0_x000D_
Access Mode:RO_x000D_
Description:LBIST pass._x000D_
 {registered false}</t>
        </r>
      </text>
    </comment>
    <comment ref="AG76" authorId="0" shapeId="0" xr:uid="{5AA63E97-5643-469C-BF83-3BC8C21F1926}">
      <text>
        <r>
          <rPr>
            <sz val="9"/>
            <color indexed="81"/>
            <rFont val="Tahoma"/>
            <family val="2"/>
          </rPr>
          <t>Field Name: bist_done_x000D_
Access Mode:RC_x000D_
Description:BIST done. When '1', LBIST and ABIST has finished._x000D_
 {registered false}</t>
        </r>
      </text>
    </comment>
    <comment ref="AH76" authorId="0" shapeId="0" xr:uid="{145272AF-0FB7-4DDC-B768-089403CA3DCD}">
      <text>
        <r>
          <rPr>
            <sz val="9"/>
            <color indexed="81"/>
            <rFont val="Tahoma"/>
            <family val="2"/>
          </rPr>
          <t>Field Name: bist_start_x000D_
Access Mode:WO_x000D_
Description:BIST start. When '1', LBIST and then ABIST start. It fires up BIST configured by user_st EEPROM/Shadow field._x000D_
 {registered false}</t>
        </r>
      </text>
    </comment>
    <comment ref="AI76" authorId="0" shapeId="0" xr:uid="{AC5A129E-BEAC-4F7A-A0EA-6472D76502BC}">
      <text>
        <r>
          <rPr>
            <sz val="9"/>
            <color indexed="81"/>
            <rFont val="Tahoma"/>
            <family val="2"/>
          </rPr>
          <t>Field Name: dly_fault_e_x000D_
Access Mode:RW_x000D_
Description:Delay fault enable._x000D_
_x000D_
 {registered false} {hdl_path u_dig_top.u_scan_mngr.dly_fault_r}</t>
        </r>
      </text>
    </comment>
    <comment ref="AJ76" authorId="0" shapeId="0" xr:uid="{8073E476-5BF4-43AA-B9D2-F4C9B81B157B}">
      <text>
        <r>
          <rPr>
            <sz val="9"/>
            <color indexed="81"/>
            <rFont val="Tahoma"/>
            <family val="2"/>
          </rPr>
          <t>Field Name: iddq_mode_e_x000D_
Access Mode:RW_x000D_
Description:Iddq mode enable._x000D_
_x000D_
 {registered false} {hdl_path u_dig_top.u_scan_mngr.iddq_mode_r}</t>
        </r>
      </text>
    </comment>
    <comment ref="AK76" authorId="0" shapeId="0" xr:uid="{6D603AE2-120E-4E69-ACE8-6EB716D5FE2A}">
      <text>
        <r>
          <rPr>
            <sz val="9"/>
            <color indexed="81"/>
            <rFont val="Tahoma"/>
            <family val="2"/>
          </rPr>
          <t>Field Name: scan_mode_e_x000D_
Access Mode:RW_x000D_
Description:Scan mode enable._x000D_
When is read, always returns '0'._x000D_
_x000D_
 {registered false} {hdl_path u_dig_top.u_scan_mngr.scan_mode_r}</t>
        </r>
      </text>
    </comment>
    <comment ref="D77" authorId="0" shapeId="0" xr:uid="{975C51AF-DCAE-499F-81CC-EF031BB4F778}">
      <text>
        <r>
          <rPr>
            <sz val="9"/>
            <color indexed="81"/>
            <rFont val="Tahoma"/>
            <family val="2"/>
          </rPr>
          <t>Write lock: ""_x000D_
Read lock: "customer_register_lock_rd"</t>
        </r>
      </text>
    </comment>
    <comment ref="F77" authorId="0" shapeId="0" xr:uid="{67B1B385-6C77-4CE9-9C27-C9C475EF831A}">
      <text>
        <r>
          <rPr>
            <sz val="9"/>
            <color indexed="81"/>
            <rFont val="Tahoma"/>
            <family val="2"/>
          </rPr>
          <t>Field Name: access_key_x000D_
Access Mode:WO_x000D_
Description:Access key. Always returns '0' on read._x000D_
_x000D_
 {hdl_path u_dig_top.u_dft_wrapper.u_scan_wrapper.u_functional_top.u_ids_top.u_direct_regmap.volatile_access_access_key_q} {registered false}</t>
        </r>
      </text>
    </comment>
    <comment ref="AB77" authorId="0" shapeId="0" xr:uid="{D9F2A196-53C2-426C-BD74-86A7FA3F019A}">
      <text>
        <r>
          <rPr>
            <sz val="9"/>
            <color indexed="81"/>
            <rFont val="Tahoma"/>
            <family val="2"/>
          </rPr>
          <t>Field Name: factory_register_lock_wr_x000D_
Access Mode:RO_x000D_
Description: {hdl_path u_dig_top.u_dft_wrapper.u_scan_wrapper.u_functional_top.u_mem_lock_ctrlr.factory_register_lock_wr} {registered false}</t>
        </r>
      </text>
    </comment>
    <comment ref="AC77" authorId="0" shapeId="0" xr:uid="{D7F65F55-38E5-4E5A-90AB-6052DD0D29CD}">
      <text>
        <r>
          <rPr>
            <sz val="9"/>
            <color indexed="81"/>
            <rFont val="Tahoma"/>
            <family val="2"/>
          </rPr>
          <t>Field Name: factory_register_lock_rd_x000D_
Access Mode:RO_x000D_
Description: {hdl_path u_dig_top.u_dft_wrapper.u_scan_wrapper.u_functional_top.u_mem_lock_ctrlr.factory_register_lock_rd} {registered false}</t>
        </r>
      </text>
    </comment>
    <comment ref="AD77" authorId="0" shapeId="0" xr:uid="{AB3F49BE-2DF3-4247-B136-BF557B823639}">
      <text>
        <r>
          <rPr>
            <sz val="9"/>
            <color indexed="81"/>
            <rFont val="Tahoma"/>
            <family val="2"/>
          </rPr>
          <t>Field Name: factory_eeprom_lock_wr_x000D_
Access Mode:RO_x000D_
Description: {hdl_path u_dig_top.u_dft_wrapper.u_scan_wrapper.u_functional_top.u_mem_lock_ctrlr.factory_eeprom_lock_wr} {registered false}</t>
        </r>
      </text>
    </comment>
    <comment ref="AE77" authorId="0" shapeId="0" xr:uid="{9C0D5AB7-6CEA-4B99-9FFA-97A4926D73F6}">
      <text>
        <r>
          <rPr>
            <sz val="9"/>
            <color indexed="81"/>
            <rFont val="Tahoma"/>
            <family val="2"/>
          </rPr>
          <t>Field Name: factory_eeprom_lock_rd_x000D_
Access Mode:RO_x000D_
Description: {hdl_path u_dig_top.u_dft_wrapper.u_scan_wrapper.u_functional_top.u_mem_lock_ctrlr.factory_eeprom_lock_rd} {registered false}</t>
        </r>
      </text>
    </comment>
    <comment ref="AF77" authorId="0" shapeId="0" xr:uid="{C7CC9D8D-B927-4D45-847F-D2A10B50D82C}">
      <text>
        <r>
          <rPr>
            <sz val="9"/>
            <color indexed="81"/>
            <rFont val="Tahoma"/>
            <family val="2"/>
          </rPr>
          <t>Field Name: customer_register_lock_wr_x000D_
Access Mode:RO_x000D_
Description: {hdl_path u_dig_top.u_dft_wrapper.u_scan_wrapper.u_functional_top.u_mem_lock_ctrlr.customer_register_lock_wr} {registered false}</t>
        </r>
      </text>
    </comment>
    <comment ref="AG77" authorId="0" shapeId="0" xr:uid="{C8A9340B-C93C-41C8-9C7C-1014822BF1DF}">
      <text>
        <r>
          <rPr>
            <sz val="9"/>
            <color indexed="81"/>
            <rFont val="Tahoma"/>
            <family val="2"/>
          </rPr>
          <t>Field Name: customer_register_lock_rd_x000D_
Access Mode:RO_x000D_
Description: {hdl_path u_dig_top.u_dft_wrapper.u_scan_wrapper.u_functional_top.u_mem_lock_ctrlr.customer_register_lock_rd} {registered false}</t>
        </r>
      </text>
    </comment>
    <comment ref="AH77" authorId="0" shapeId="0" xr:uid="{BC9180EB-2383-4A95-A73F-B54FDE6F6A16}">
      <text>
        <r>
          <rPr>
            <sz val="9"/>
            <color indexed="81"/>
            <rFont val="Tahoma"/>
            <family val="2"/>
          </rPr>
          <t>Field Name: customer_eeprom_lock_wr_x000D_
Access Mode:RO_x000D_
Description: {hdl_path u_dig_top.u_dft_wrapper.u_scan_wrapper.u_functional_top.u_mem_lock_ctrlr.customer_eeprom_lock_wr} {registered false}</t>
        </r>
      </text>
    </comment>
    <comment ref="AI77" authorId="0" shapeId="0" xr:uid="{D4F63844-D2DB-483A-9309-763F7E294C04}">
      <text>
        <r>
          <rPr>
            <sz val="9"/>
            <color indexed="81"/>
            <rFont val="Tahoma"/>
            <family val="2"/>
          </rPr>
          <t>Field Name: customer_eeprom_lock_rd_x000D_
Access Mode:RO_x000D_
Description: {hdl_path u_dig_top.u_dft_wrapper.u_scan_wrapper.u_functional_top.u_mem_lock_ctrlr.customer_eeprom_lock_rd} {registered false}</t>
        </r>
      </text>
    </comment>
    <comment ref="AJ77" authorId="0" shapeId="0" xr:uid="{28A7DFB3-AD6E-4A1A-AD5B-98976FB31294}">
      <text>
        <r>
          <rPr>
            <sz val="9"/>
            <color indexed="81"/>
            <rFont val="Tahoma"/>
            <family val="2"/>
          </rPr>
          <t>Field Name: factory_access_x000D_
Access Mode:RO_x000D_
Description:Factory access enabled. This field is also part of the access code when is written, i.e. the access key is 32 bits wide._x000D_
0 = Factory closed._x000D_
1 = Factory open._x000D_
_x000D_
 {hdl_path u_dig_top.u_dft_wrapper.u_scan_wrapper.u_functional_top.u_ids_top.factory_access_in} {registered false}</t>
        </r>
      </text>
    </comment>
    <comment ref="AK77" authorId="0" shapeId="0" xr:uid="{EDD76ACD-A816-487C-9F57-1F783A9D05DE}">
      <text>
        <r>
          <rPr>
            <sz val="9"/>
            <color indexed="81"/>
            <rFont val="Tahoma"/>
            <family val="2"/>
          </rPr>
          <t>Field Name: customer_access_x000D_
Access Mode:RO_x000D_
Description:Customer access enabled. This field is also part of the access code when is written, i.e. the access key is 32 bits wide._x000D_
0 = Customer closed._x000D_
1 = Customer open._x000D_
_x000D_
 {hdl_path u_dig_top.u_dft_wrapper.u_scan_wrapper.u_functional_top.u_ids_top.customer_access_in} {registered false}</t>
        </r>
      </text>
    </comment>
    <comment ref="D78" authorId="0" shapeId="0" xr:uid="{C521F65B-4D2E-43DF-8779-E70A9EFB7CA2}">
      <text>
        <r>
          <rPr>
            <sz val="9"/>
            <color indexed="81"/>
            <rFont val="Tahoma"/>
            <family val="2"/>
          </rPr>
          <t>Write lock: "factory_register_lock_wr"_x000D_
Read lock: "customer_register_lock_rd"</t>
        </r>
      </text>
    </comment>
    <comment ref="H78" authorId="0" shapeId="0" xr:uid="{B19D03F1-CECF-4CB4-9423-839F65920B3C}">
      <text>
        <r>
          <rPr>
            <sz val="9"/>
            <color indexed="81"/>
            <rFont val="Tahoma"/>
            <family val="2"/>
          </rPr>
          <t>Field Name: die_source_code_x000D_
Access Mode:RO_x000D_
Description:DSC value (Rev_letter_1, Rev_letter_0, Part_number)._x000D_
[29:25]: Revision letter 1._x000D_
[24:20]: Revision letter 0._x000D_
[19:0]: 6-digits part number._x000D_
_x000D_
_x000D_
 {hdl_path u_dig_top.die_source_code} {registered false} {input_coupling true}</t>
        </r>
      </text>
    </comment>
    <comment ref="D87" authorId="0" shapeId="0" xr:uid="{34C9AB26-FA51-41EC-8503-0844F7B52FFF}">
      <text>
        <r>
          <rPr>
            <sz val="9"/>
            <color indexed="81"/>
            <rFont val="Tahoma"/>
            <family val="2"/>
          </rPr>
          <t>Write lock: "factory_register_lock_wr"_x000D_
Read lock: "customer_register_lock_rd"</t>
        </r>
      </text>
    </comment>
    <comment ref="AA87" authorId="0" shapeId="0" xr:uid="{3E2EBF5B-4359-45A6-8909-015E6F78C989}">
      <text>
        <r>
          <rPr>
            <sz val="9"/>
            <color indexed="81"/>
            <rFont val="Tahoma"/>
            <family val="2"/>
          </rPr>
          <t>Field Name: tm_spare_x000D_
Access Mode:RW_x000D_
Description:Spare test modes._x000D_
_x000D_
 {hdl_path tm_spare_q} {u_block_volatile_output true}</t>
        </r>
      </text>
    </comment>
    <comment ref="AE87" authorId="0" shapeId="0" xr:uid="{267C08C9-B20C-4D08-AA3E-530F279B7E77}">
      <text>
        <r>
          <rPr>
            <sz val="9"/>
            <color indexed="81"/>
            <rFont val="Tahoma"/>
            <family val="2"/>
          </rPr>
          <t>Field Name: tm_scoil_hf_x000D_
Access Mode:RW_x000D_
Description:When '1', secondary coil (if not disable) runs at frequency selected by coil_freq EEPROM field._x000D_
_x000D_
 {hdl_path tm_scoil_hf_q} {u_block_volatile_output true}</t>
        </r>
      </text>
    </comment>
    <comment ref="AF87" authorId="0" shapeId="0" xr:uid="{F9E5C99F-9761-4A96-A545-84ACD7E9446E}">
      <text>
        <r>
          <rPr>
            <sz val="9"/>
            <color indexed="81"/>
            <rFont val="Tahoma"/>
            <family val="2"/>
          </rPr>
          <t>Field Name: tm_tmr_clk_dis_x000D_
Access Mode:RW_x000D_
Description:When '1', TMR clock is disabled (held on a constant value)._x000D_
_x000D_
 {hdl_path tm_tmr_clk_dis_q} {u_block_volatile_output true}</t>
        </r>
      </text>
    </comment>
    <comment ref="AG87" authorId="0" shapeId="0" xr:uid="{55650160-AAA9-4C16-9291-38996BD08CC5}">
      <text>
        <r>
          <rPr>
            <sz val="9"/>
            <color indexed="81"/>
            <rFont val="Tahoma"/>
            <family val="2"/>
          </rPr>
          <t>Field Name: tm_tmr_clk_pol_x000D_
Access Mode:RW_x000D_
Description:When tm_tmr_clk_dis='1', selects the polarity of the TRM clock._x000D_
_x000D_
 {hdl_path tm_tmr_clk_pol_q} {u_block_volatile_output true}</t>
        </r>
      </text>
    </comment>
    <comment ref="AH87" authorId="0" shapeId="0" xr:uid="{9A844679-9203-4182-BA16-7FA5D7024DCD}">
      <text>
        <r>
          <rPr>
            <sz val="9"/>
            <color indexed="81"/>
            <rFont val="Tahoma"/>
            <family val="2"/>
          </rPr>
          <t>Field Name: tm_clk2out_x000D_
Access Mode:RW_x000D_
Description:When '1', the output is driven by the clock divided by 1024._x000D_
_x000D_
 {hdl_path tm_clk2out_q} {u_block_volatile_output true}</t>
        </r>
      </text>
    </comment>
    <comment ref="AI87" authorId="0" shapeId="0" xr:uid="{4601DBED-7A54-4C24-B633-F1599198F3A4}">
      <text>
        <r>
          <rPr>
            <sz val="9"/>
            <color indexed="81"/>
            <rFont val="Tahoma"/>
            <family val="2"/>
          </rPr>
          <t>Field Name: tm_force_out_z_x000D_
Access Mode:RW_x000D_
Description:When '1', forces the output to high-Z state. This one has precedence over tm_force_out_low_x000D_
_x000D_
 {hdl_path tm_force_out_z_q} {u_block_volatile_output true}</t>
        </r>
      </text>
    </comment>
    <comment ref="AJ87" authorId="0" shapeId="0" xr:uid="{E482C642-4A80-41A0-927C-0DC6BFFAD3D6}">
      <text>
        <r>
          <rPr>
            <sz val="9"/>
            <color indexed="81"/>
            <rFont val="Tahoma"/>
            <family val="2"/>
          </rPr>
          <t>Field Name: tm_force_out_low_x000D_
Access Mode:RW_x000D_
Description:When '1', forces the output to LOW state._x000D_
_x000D_
 {hdl_path tm_force_out_low_q} {u_block_volatile_output true}</t>
        </r>
      </text>
    </comment>
    <comment ref="AK87" authorId="0" shapeId="0" xr:uid="{D481ED4F-2DAF-4A99-98C6-F8DE7A910AB4}">
      <text>
        <r>
          <rPr>
            <sz val="9"/>
            <color indexed="81"/>
            <rFont val="Tahoma"/>
            <family val="2"/>
          </rPr>
          <t>Field Name: tm_mcoil_dis_x000D_
Access Mode:RW_x000D_
Description:When '1', the main coil is disabled._x000D_
_x000D_
 {hdl_path tm_mcoil_dis_q} {u_block_volatile_output true}</t>
        </r>
      </text>
    </comment>
    <comment ref="D88" authorId="0" shapeId="0" xr:uid="{7A0F43E2-6C93-488F-9681-127F89DCF8D4}">
      <text>
        <r>
          <rPr>
            <sz val="9"/>
            <color indexed="81"/>
            <rFont val="Tahoma"/>
            <family val="2"/>
          </rPr>
          <t>Write lock: "factory_register_lock_wr"_x000D_
Read lock: "customer_register_lock_rd"</t>
        </r>
      </text>
    </comment>
    <comment ref="X88" authorId="0" shapeId="0" xr:uid="{FB0D73BC-CC61-4C96-A29A-8EFDCE8D4635}">
      <text>
        <r>
          <rPr>
            <sz val="9"/>
            <color indexed="81"/>
            <rFont val="Tahoma"/>
            <family val="2"/>
          </rPr>
          <t>Field Name: d_tm_spare_x000D_
Access Mode:RW_x000D_
Description:Spare test modes for analog domain._x000D_
_x000D_
_x000D_
_x000D_
 {output_coupling true} {scan_val 0} {hdl_path d_tm_spare_q} {u_block_volatile_output true}</t>
        </r>
      </text>
    </comment>
    <comment ref="AE88" authorId="0" shapeId="0" xr:uid="{963743A3-A584-40A9-9B72-36C7FA758652}">
      <text>
        <r>
          <rPr>
            <sz val="9"/>
            <color indexed="81"/>
            <rFont val="Tahoma"/>
            <family val="2"/>
          </rPr>
          <t>Field Name: d_tm_coil_sftshrt_e_x000D_
Access Mode:RW_x000D_
Description: {output_coupling true} {scan_val 0} {hdl_path d_tm_coil_sftshrt_e_q} {u_block_volatile_output true}</t>
        </r>
      </text>
    </comment>
    <comment ref="AF88" authorId="0" shapeId="0" xr:uid="{BDCD7651-EB98-4587-B7B9-15078C86BB03}">
      <text>
        <r>
          <rPr>
            <sz val="9"/>
            <color indexed="81"/>
            <rFont val="Tahoma"/>
            <family val="2"/>
          </rPr>
          <t>Field Name: d_tm_pok_ps_x000D_
Access Mode:RW_x000D_
Description:When '1', the power system POK output is forced to be '1' regardless the current VCC value._x000D_
_x000D_
_x000D_
_x000D_
 {output_coupling true} {scan_val 0} {hdl_path d_tm_pok_ps_q} {u_block_volatile_output true}</t>
        </r>
      </text>
    </comment>
    <comment ref="AG88" authorId="0" shapeId="0" xr:uid="{88A15741-6613-4A1E-90C7-811EA7F50A3F}">
      <text>
        <r>
          <rPr>
            <sz val="9"/>
            <color indexed="81"/>
            <rFont val="Tahoma"/>
            <family val="2"/>
          </rPr>
          <t>Field Name: d_tm_load_e_x000D_
Access Mode:RW_x000D_
Description:Load test for analog buffers. Before activating this test mode, the tm_mcoil_dis must be set high._x000D_
_x000D_
_x000D_
_x000D_
 {output_coupling true} {scan_val 0} {hdl_path d_tm_load_e_q} {u_block_volatile_output true}</t>
        </r>
      </text>
    </comment>
    <comment ref="AH88" authorId="0" shapeId="0" xr:uid="{AC22E08D-38FA-4A17-A7E1-FE81F470C96C}">
      <text>
        <r>
          <rPr>
            <sz val="9"/>
            <color indexed="81"/>
            <rFont val="Tahoma"/>
            <family val="2"/>
          </rPr>
          <t>Field Name: d_tm_sd_short_2_x000D_
Access Mode:RW_x000D_
Description:When '1', the input to CTSDM channel 2 is shorted._x000D_
_x000D_
_x000D_
_x000D_
 {output_coupling true} {scan_val 0} {hdl_path d_tm_sd_short_2_q} {u_block_volatile_output true}</t>
        </r>
      </text>
    </comment>
    <comment ref="AI88" authorId="0" shapeId="0" xr:uid="{521EAECA-53C2-4224-8EC9-3431BC3B5E98}">
      <text>
        <r>
          <rPr>
            <sz val="9"/>
            <color indexed="81"/>
            <rFont val="Tahoma"/>
            <family val="2"/>
          </rPr>
          <t>Field Name: d_tm_sd_short_1_x000D_
Access Mode:RW_x000D_
Description:When '1', the input to CTSDM channel 1 is shorted._x000D_
_x000D_
_x000D_
_x000D_
 {output_coupling true} {scan_val 0} {hdl_path d_tm_sd_short_1_q} {u_block_volatile_output true}</t>
        </r>
      </text>
    </comment>
    <comment ref="AJ88" authorId="0" shapeId="0" xr:uid="{476CCA5B-E04B-4EFB-A40C-22BE5040EF3A}">
      <text>
        <r>
          <rPr>
            <sz val="9"/>
            <color indexed="81"/>
            <rFont val="Tahoma"/>
            <family val="2"/>
          </rPr>
          <t>Field Name: d_tm_afe_short_2_x000D_
Access Mode:RW_x000D_
Description:When '1', the input to AFE channel 2 is shorted._x000D_
_x000D_
_x000D_
_x000D_
 {output_coupling true} {scan_val 0} {hdl_path d_tm_afe_short_2_q} {u_block_volatile_output true}</t>
        </r>
      </text>
    </comment>
    <comment ref="AK88" authorId="0" shapeId="0" xr:uid="{181AABFC-B780-4CE0-8DAB-BA4B239B5E2B}">
      <text>
        <r>
          <rPr>
            <sz val="9"/>
            <color indexed="81"/>
            <rFont val="Tahoma"/>
            <family val="2"/>
          </rPr>
          <t>Field Name: d_tm_afe_short_1_x000D_
Access Mode:RW_x000D_
Description:When '1', the input to AFE channel 1 is shorted._x000D_
_x000D_
_x000D_
_x000D_
 {output_coupling true} {scan_val 0} {hdl_path d_tm_afe_short_1_q} {u_block_volatile_output true}</t>
        </r>
      </text>
    </comment>
    <comment ref="D89" authorId="0" shapeId="0" xr:uid="{E88625C0-47EA-4D72-94EB-56A3E4066159}">
      <text>
        <r>
          <rPr>
            <sz val="9"/>
            <color indexed="81"/>
            <rFont val="Tahoma"/>
            <family val="2"/>
          </rPr>
          <t>Write lock: "factory_register_lock_wr"_x000D_
Read lock: "customer_register_lock_rd"</t>
        </r>
      </text>
    </comment>
    <comment ref="AC89" authorId="0" shapeId="0" xr:uid="{710244D6-9E1C-4152-AB72-3DF0B654FBB6}">
      <text>
        <r>
          <rPr>
            <sz val="9"/>
            <color indexed="81"/>
            <rFont val="Tahoma"/>
            <family val="2"/>
          </rPr>
          <t>Field Name: d_de_mux_sel_x000D_
Access Mode:RW_x000D_
Description:Debugging probe pad selection._x000D_
'0000': GND._x000D_
'0001': TMR1_N, TMR1_P_x000D_
'0010': TMR2_N, TMR2_P_x000D_
'0011': TMRAMP1_N, TMRAMP1_P_x000D_
'0100': TMRAMP2_N, TMRAMP2_P_x000D_
'0101': FEOUT1_N, FEAOUT1_P._x000D_
'0110': FEOUT2_N, FEAOUT2_P._x000D_
'0111': SDM1, CK_SDM_x000D_
'1000': SDM2, CK_SDM_x000D_
_x000D_
_x000D_
_x000D_
 {output_coupling true} {scan_val 0} {hdl_path d_de_mux_sel_q} {u_block_volatile_output true}</t>
        </r>
      </text>
    </comment>
    <comment ref="AH89" authorId="0" shapeId="0" xr:uid="{C32AC0CC-B8A6-49E9-A81B-B611B2F9E3E8}">
      <text>
        <r>
          <rPr>
            <sz val="9"/>
            <color indexed="81"/>
            <rFont val="Tahoma"/>
            <family val="2"/>
          </rPr>
          <t>Field Name: d_pe_amux_sel_x000D_
Access Mode:RW_x000D_
Description:Output analog mux selection._x000D_
'0000': Digital output._x000D_
'0001': VBGint_x000D_
'0010': VREF 1V_x000D_
'0011': IB10N_FLAT_TRIMMED_x000D_
'0100': VPOSA_COIL_x000D_
'0101': VPOSA_CLEAN_x000D_
'0110': VPOSA_NOISY_x000D_
'0111': VTMR_N_x000D_
'1000': VTMR_P_x000D_
'1001': IOSC_COPY_x000D_
'1010': CMREF_SDM_x000D_
'1011': VPOS_LV_x000D_
'1100': VPOSD _x000D_
'1101': ISECOIL_x000D_
'1110': EE_CPDIV_x000D_
'1111': EE_REFOUT_x000D_
_x000D_
_x000D_
_x000D_
 {output_coupling true} {scan_val 0} {hdl_path d_pe_amux_sel_q} {u_block_volatile_output true}</t>
        </r>
      </text>
    </comment>
    <comment ref="D90" authorId="0" shapeId="0" xr:uid="{120FB2C4-678B-4EBD-9D09-952C1AE187FF}">
      <text>
        <r>
          <rPr>
            <sz val="9"/>
            <color indexed="81"/>
            <rFont val="Tahoma"/>
            <family val="2"/>
          </rPr>
          <t>Write lock: "factory_register_lock_wr"_x000D_
Read lock: "customer_register_lock_rd"</t>
        </r>
      </text>
    </comment>
    <comment ref="S90" authorId="0" shapeId="0" xr:uid="{B3C0C55A-32DF-44F3-BE0E-D333978D812F}">
      <text>
        <r>
          <rPr>
            <sz val="9"/>
            <color indexed="81"/>
            <rFont val="Tahoma"/>
            <family val="2"/>
          </rPr>
          <t>Field Name: p_x000D_
Access Mode:RO_x000D_
Description:Normalized position after divisor._x000D_
_x000D_
 {registered false} {hdl_path p_toids}</t>
        </r>
      </text>
    </comment>
    <comment ref="D91" authorId="0" shapeId="0" xr:uid="{BFCD4EDC-FA4E-4B2D-B149-1611BDCBCE58}">
      <text>
        <r>
          <rPr>
            <sz val="9"/>
            <color indexed="81"/>
            <rFont val="Tahoma"/>
            <family val="2"/>
          </rPr>
          <t>Write lock: "factory_register_lock_wr"_x000D_
Read lock: "customer_register_lock_rd"</t>
        </r>
      </text>
    </comment>
    <comment ref="F91" authorId="0" shapeId="0" xr:uid="{BE323039-3D46-4DB7-AE09-66C823C53384}">
      <text>
        <r>
          <rPr>
            <sz val="9"/>
            <color indexed="81"/>
            <rFont val="Tahoma"/>
            <family val="2"/>
          </rPr>
          <t>Field Name: v2_x000D_
Access Mode:RO_x000D_
Description:TMR2 sensed value._x000D_
_x000D_
 {registered false} {hdl_path v1_toids}</t>
        </r>
      </text>
    </comment>
    <comment ref="V91" authorId="0" shapeId="0" xr:uid="{2969C4E0-5ECB-4069-B6F9-C6B239BB21D1}">
      <text>
        <r>
          <rPr>
            <sz val="9"/>
            <color indexed="81"/>
            <rFont val="Tahoma"/>
            <family val="2"/>
          </rPr>
          <t>Field Name: v1_x000D_
Access Mode:RO_x000D_
Description:TMR1 sensed value._x000D_
_x000D_
 {registered false} {hdl_path v2_toids}</t>
        </r>
      </text>
    </comment>
    <comment ref="D92" authorId="0" shapeId="0" xr:uid="{5719AF1A-6BB3-43FA-B6BD-EE9736B06FBD}">
      <text>
        <r>
          <rPr>
            <sz val="9"/>
            <color indexed="81"/>
            <rFont val="Tahoma"/>
            <family val="2"/>
          </rPr>
          <t>Write lock: "factory_register_lock_wr"_x000D_
Read lock: "customer_register_lock_rd"</t>
        </r>
      </text>
    </comment>
    <comment ref="F92" authorId="0" shapeId="0" xr:uid="{1D2F29C7-9C29-41E0-8CA1-50823488DB3E}">
      <text>
        <r>
          <rPr>
            <sz val="9"/>
            <color indexed="81"/>
            <rFont val="Tahoma"/>
            <family val="2"/>
          </rPr>
          <t>Field Name: v1_p_v2_div2_x000D_
Access Mode:RO_x000D_
Description:V1 plus V2 divided by 2._x000D_
_x000D_
 {registered false} {hdl_path v1_ p_v2_div2_toids}</t>
        </r>
      </text>
    </comment>
    <comment ref="V92" authorId="0" shapeId="0" xr:uid="{2D9147E1-FFBF-4969-9EEF-D4621F6E5BF8}">
      <text>
        <r>
          <rPr>
            <sz val="9"/>
            <color indexed="81"/>
            <rFont val="Tahoma"/>
            <family val="2"/>
          </rPr>
          <t>Field Name: v1_m_v2_div2_x000D_
Access Mode:RO_x000D_
Description:V1 minus V2 divided by 2._x000D_
_x000D_
 {registered false} {hdl_path v1_m_v2_div2_toids}</t>
        </r>
      </text>
    </comment>
    <comment ref="D93" authorId="0" shapeId="0" xr:uid="{2AD0C22F-7423-4F09-ACCD-F0C02BA66297}">
      <text>
        <r>
          <rPr>
            <sz val="9"/>
            <color indexed="81"/>
            <rFont val="Tahoma"/>
            <family val="2"/>
          </rPr>
          <t>Write lock: "factory_register_lock_wr"_x000D_
Read lock: "customer_register_lock_rd"</t>
        </r>
      </text>
    </comment>
    <comment ref="F93" authorId="0" shapeId="0" xr:uid="{6A1595EB-6F12-43FC-9228-C918FEAB4F41}">
      <text>
        <r>
          <rPr>
            <sz val="9"/>
            <color indexed="81"/>
            <rFont val="Tahoma"/>
            <family val="2"/>
          </rPr>
          <t>Field Name: rrl_cic2_out_2_x000D_
Access Mode:RO_x000D_
Description:Output of RRL CIC (channel 2)._x000D_
_x000D_
 {registered false} {hdl_path rrl_cic_out_2_toids}</t>
        </r>
      </text>
    </comment>
    <comment ref="V93" authorId="0" shapeId="0" xr:uid="{D173E47E-2CD1-4C5C-A1B3-9BE0E3678105}">
      <text>
        <r>
          <rPr>
            <sz val="9"/>
            <color indexed="81"/>
            <rFont val="Tahoma"/>
            <family val="2"/>
          </rPr>
          <t>Field Name: rrl_cic2_out_1_x000D_
Access Mode:RO_x000D_
Description:Output of RRL CIC (channel 1)._x000D_
_x000D_
 {registered false} {hdl_path rrl_cic2_out_1_toids}</t>
        </r>
      </text>
    </comment>
    <comment ref="D94" authorId="0" shapeId="0" xr:uid="{58385626-3F2A-4E00-9D51-B1481136E87A}">
      <text>
        <r>
          <rPr>
            <sz val="9"/>
            <color indexed="81"/>
            <rFont val="Tahoma"/>
            <family val="2"/>
          </rPr>
          <t>Write lock: "factory_register_lock_wr"_x000D_
Read lock: "customer_register_lock_rd"</t>
        </r>
      </text>
    </comment>
    <comment ref="F94" authorId="0" shapeId="0" xr:uid="{E337F253-7D5E-4A32-B701-05D3EB9E74B7}">
      <text>
        <r>
          <rPr>
            <sz val="9"/>
            <color indexed="81"/>
            <rFont val="Tahoma"/>
            <family val="2"/>
          </rPr>
          <t>Field Name: rrl_int_out_2_x000D_
Access Mode:RO_x000D_
Description:RRL integrator value (channel 2)._x000D_
_x000D_
 {registered false} {hdl_path rrl_int_out_2_toids}</t>
        </r>
      </text>
    </comment>
    <comment ref="V94" authorId="0" shapeId="0" xr:uid="{9DCA984D-154D-4997-8303-AB2151284A9C}">
      <text>
        <r>
          <rPr>
            <sz val="9"/>
            <color indexed="81"/>
            <rFont val="Tahoma"/>
            <family val="2"/>
          </rPr>
          <t>Field Name: rrl_int_out_1_x000D_
Access Mode:RO_x000D_
Description:RRL integrator value (channel 1)._x000D_
_x000D_
 {registered false} {hdl_path rrl_int_out_1_toids}</t>
        </r>
      </text>
    </comment>
    <comment ref="D95" authorId="0" shapeId="0" xr:uid="{4FE868F1-CF29-402E-8F38-1D4A4E8A21A2}">
      <text>
        <r>
          <rPr>
            <sz val="9"/>
            <color indexed="81"/>
            <rFont val="Tahoma"/>
            <family val="2"/>
          </rPr>
          <t>Write lock: "factory_register_lock_wr"_x000D_
Read lock: "customer_register_lock_rd"</t>
        </r>
      </text>
    </comment>
    <comment ref="V95" authorId="0" shapeId="0" xr:uid="{BA40F32C-E446-49E8-9EAD-1B4C2C4FAB41}">
      <text>
        <r>
          <rPr>
            <sz val="9"/>
            <color indexed="81"/>
            <rFont val="Tahoma"/>
            <family val="2"/>
          </rPr>
          <t>Field Name: rrl_feedback_2_x000D_
Access Mode:RO_x000D_
Description:RRL feedback DAC value (channel 2)._x000D_
_x000D_
 {registered false} {hdl_path rrl_feedback_2_toids}</t>
        </r>
      </text>
    </comment>
    <comment ref="AD95" authorId="0" shapeId="0" xr:uid="{0DEB3161-0B6B-45A8-9F14-F8C3BEB30968}">
      <text>
        <r>
          <rPr>
            <sz val="9"/>
            <color indexed="81"/>
            <rFont val="Tahoma"/>
            <family val="2"/>
          </rPr>
          <t>Field Name: rrl_feedback_1_x000D_
Access Mode:RO_x000D_
Description:RRL feedback DAC value (channel 1)._x000D_
_x000D_
 {registered false} {hdl_path rrl_feedback_1_toids}</t>
        </r>
      </text>
    </comment>
    <comment ref="D96" authorId="0" shapeId="0" xr:uid="{E0812088-54D6-4A53-A68A-FF9603B8EC84}">
      <text>
        <r>
          <rPr>
            <sz val="9"/>
            <color indexed="81"/>
            <rFont val="Tahoma"/>
            <family val="2"/>
          </rPr>
          <t>Write lock: "factory_register_lock_wr"_x000D_
Read lock: "customer_register_lock_rd"</t>
        </r>
      </text>
    </comment>
    <comment ref="S96" authorId="0" shapeId="0" xr:uid="{E14FDFF7-2AB7-447D-B9B4-D2839439F377}">
      <text>
        <r>
          <rPr>
            <sz val="9"/>
            <color indexed="81"/>
            <rFont val="Tahoma"/>
            <family val="2"/>
          </rPr>
          <t>Field Name: dac_tmr_x000D_
Access Mode:RO_x000D_
Description:TMR voltage supply value._x000D_
_x000D_
 {registered false} {hdl_path dac_tmr_toids}</t>
        </r>
      </text>
    </comment>
    <comment ref="Z96" authorId="0" shapeId="0" xr:uid="{B54116B0-D02A-4331-934E-722027DAC60B}">
      <text>
        <r>
          <rPr>
            <sz val="9"/>
            <color indexed="81"/>
            <rFont val="Tahoma"/>
            <family val="2"/>
          </rPr>
          <t>Field Name: tt_temp_x000D_
Access Mode:RO_x000D_
Description:Tiny_temp sensed temperature._x000D_
_x000D_
 {registered false} {hdl_path tt_temp_toids}</t>
        </r>
      </text>
    </comment>
    <comment ref="D97" authorId="0" shapeId="0" xr:uid="{75E241DA-8F6E-40F2-932F-0551AEA4B158}">
      <text>
        <r>
          <rPr>
            <sz val="9"/>
            <color indexed="81"/>
            <rFont val="Tahoma"/>
            <family val="2"/>
          </rPr>
          <t>Write lock: "factory_register_lock_wr"_x000D_
Read lock: "customer_register_lock_rd"</t>
        </r>
      </text>
    </comment>
    <comment ref="F97" authorId="0" shapeId="0" xr:uid="{EAC75977-D9E7-4B64-AF82-003980F61AB3}">
      <text>
        <r>
          <rPr>
            <sz val="9"/>
            <color indexed="81"/>
            <rFont val="Tahoma"/>
            <family val="2"/>
          </rPr>
          <t>Field Name: a2_x000D_
Access Mode:RO_x000D_
Description: {registered false} {hdl_path a2_toids}</t>
        </r>
      </text>
    </comment>
    <comment ref="V97" authorId="0" shapeId="0" xr:uid="{C0B1AA8F-C7EF-4E9D-A6BB-DF83C78544D3}">
      <text>
        <r>
          <rPr>
            <sz val="9"/>
            <color indexed="81"/>
            <rFont val="Tahoma"/>
            <family val="2"/>
          </rPr>
          <t>Field Name: a1_x000D_
Access Mode:RO_x000D_
Description: {registered false} {hdl_path a1_toids}</t>
        </r>
      </text>
    </comment>
    <comment ref="D98" authorId="0" shapeId="0" xr:uid="{0B6C0EF8-F13D-4092-9ED1-31B1109B8AA5}">
      <text>
        <r>
          <rPr>
            <sz val="9"/>
            <color indexed="81"/>
            <rFont val="Tahoma"/>
            <family val="2"/>
          </rPr>
          <t>Write lock: "factory_register_lock_wr"_x000D_
Read lock: "customer_register_lock_rd"</t>
        </r>
      </text>
    </comment>
    <comment ref="F98" authorId="0" shapeId="0" xr:uid="{FEB35A27-C3DD-416A-B5CE-2C42A475754A}">
      <text>
        <r>
          <rPr>
            <sz val="9"/>
            <color indexed="81"/>
            <rFont val="Tahoma"/>
            <family val="2"/>
          </rPr>
          <t>Field Name: vo2_x000D_
Access Mode:RO_x000D_
Description: {registered false} {hdl_path vo2_toids}</t>
        </r>
      </text>
    </comment>
    <comment ref="V98" authorId="0" shapeId="0" xr:uid="{1A8EFB0F-25CD-4CC7-8ACE-4D1262F954FA}">
      <text>
        <r>
          <rPr>
            <sz val="9"/>
            <color indexed="81"/>
            <rFont val="Tahoma"/>
            <family val="2"/>
          </rPr>
          <t>Field Name: vo1_x000D_
Access Mode:RO_x000D_
Description: {registered false} {hdl_path vo1_toids}</t>
        </r>
      </text>
    </comment>
    <comment ref="D99" authorId="0" shapeId="0" xr:uid="{CB8D3F12-246C-4A98-BE02-FEB885BD05CC}">
      <text>
        <r>
          <rPr>
            <sz val="9"/>
            <color indexed="81"/>
            <rFont val="Tahoma"/>
            <family val="2"/>
          </rPr>
          <t>Write lock: "factory_register_lock_wr"_x000D_
Read lock: "customer_register_lock_rd"</t>
        </r>
      </text>
    </comment>
    <comment ref="F99" authorId="0" shapeId="0" xr:uid="{61CFD792-F89E-418D-A00E-5A43EE836043}">
      <text>
        <r>
          <rPr>
            <sz val="9"/>
            <color indexed="81"/>
            <rFont val="Tahoma"/>
            <family val="2"/>
          </rPr>
          <t>Field Name: v2_m_vo2_x000D_
Access Mode:RO_x000D_
Description: {registered false} {hdl_path v2_m_vo2_toids}</t>
        </r>
      </text>
    </comment>
    <comment ref="V99" authorId="0" shapeId="0" xr:uid="{DDBB0968-24FC-4464-91E1-6E23A1A1D0B8}">
      <text>
        <r>
          <rPr>
            <sz val="9"/>
            <color indexed="81"/>
            <rFont val="Tahoma"/>
            <family val="2"/>
          </rPr>
          <t>Field Name: v1_m_vo1_x000D_
Access Mode:RO_x000D_
Description: {registered false} {hdl_path v1_m_vo1_toids}</t>
        </r>
      </text>
    </comment>
    <comment ref="D100" authorId="0" shapeId="0" xr:uid="{74364CA9-BAB3-43CF-AE30-7BAAF61A7706}">
      <text>
        <r>
          <rPr>
            <sz val="9"/>
            <color indexed="81"/>
            <rFont val="Tahoma"/>
            <family val="2"/>
          </rPr>
          <t>Write lock: "factory_register_lock_wr"_x000D_
Read lock: "customer_register_lock_rd"</t>
        </r>
      </text>
    </comment>
    <comment ref="F100" authorId="0" shapeId="0" xr:uid="{872F8E61-E524-4C39-9CFB-CF38E6D7211B}">
      <text>
        <r>
          <rPr>
            <sz val="9"/>
            <color indexed="81"/>
            <rFont val="Tahoma"/>
            <family val="2"/>
          </rPr>
          <t>Field Name: v2_comp_x000D_
Access Mode:RO_x000D_
Description: {registered false} {hdl_path v2_comp_toids}</t>
        </r>
      </text>
    </comment>
    <comment ref="V100" authorId="0" shapeId="0" xr:uid="{C6C1851D-4D21-4513-977E-8E6FD1B126CD}">
      <text>
        <r>
          <rPr>
            <sz val="9"/>
            <color indexed="81"/>
            <rFont val="Tahoma"/>
            <family val="2"/>
          </rPr>
          <t>Field Name: v1_comp_x000D_
Access Mode:RO_x000D_
Description: {registered false} {hdl_path v1_comp_toids}</t>
        </r>
      </text>
    </comment>
    <comment ref="D101" authorId="0" shapeId="0" xr:uid="{46270254-9C83-4A50-BA69-418FE48DCC03}">
      <text>
        <r>
          <rPr>
            <sz val="9"/>
            <color indexed="81"/>
            <rFont val="Tahoma"/>
            <family val="2"/>
          </rPr>
          <t>Write lock: "factory_register_lock_wr"_x000D_
Read lock: "customer_register_lock_rd"</t>
        </r>
      </text>
    </comment>
    <comment ref="F101" authorId="0" shapeId="0" xr:uid="{10622DF6-E730-48FA-B4D3-7490738A3550}">
      <text>
        <r>
          <rPr>
            <sz val="9"/>
            <color indexed="81"/>
            <rFont val="Tahoma"/>
            <family val="2"/>
          </rPr>
          <t>Field Name: kr_x000D_
Access Mode:RO_x000D_
Description: {registered false} {hdl_path kr_toids}</t>
        </r>
      </text>
    </comment>
    <comment ref="V101" authorId="0" shapeId="0" xr:uid="{807286B5-DEB5-4251-8090-8AFF9C1CB4D1}">
      <text>
        <r>
          <rPr>
            <sz val="9"/>
            <color indexed="81"/>
            <rFont val="Tahoma"/>
            <family val="2"/>
          </rPr>
          <t>Field Name: p_m_delta_d_x000D_
Access Mode:RO_x000D_
Description: {registered false} {hdl_path p_m_delta_d_toids}</t>
        </r>
      </text>
    </comment>
    <comment ref="D102" authorId="0" shapeId="0" xr:uid="{3A418334-13C8-4181-B888-6A768A09BB18}">
      <text>
        <r>
          <rPr>
            <sz val="9"/>
            <color indexed="81"/>
            <rFont val="Tahoma"/>
            <family val="2"/>
          </rPr>
          <t>Write lock: "factory_register_lock_wr"_x000D_
Read lock: "customer_register_lock_rd"</t>
        </r>
      </text>
    </comment>
    <comment ref="U102" authorId="0" shapeId="0" xr:uid="{FFE53869-43AB-4093-B4CD-6AA174886EF5}">
      <text>
        <r>
          <rPr>
            <sz val="9"/>
            <color indexed="81"/>
            <rFont val="Tahoma"/>
            <family val="2"/>
          </rPr>
          <t>Field Name: rrl_lock_x000D_
Access Mode:RO_x000D_
Description:When '1', RRL is locked._x000D_
_x000D_
 {registered false} {hdl_path rrl_lock_toids}</t>
        </r>
      </text>
    </comment>
    <comment ref="V102" authorId="0" shapeId="0" xr:uid="{0CDC76C8-FEEF-4B4A-A549-6872D0CFBDDB}">
      <text>
        <r>
          <rPr>
            <sz val="9"/>
            <color indexed="81"/>
            <rFont val="Tahoma"/>
            <family val="2"/>
          </rPr>
          <t>Field Name: kr_m_offset_x000D_
Access Mode:RO_x000D_
Description: {registered false} {hdl_path kr_m_offset_toids}</t>
        </r>
      </text>
    </comment>
    <comment ref="D103" authorId="0" shapeId="0" xr:uid="{6BFF7423-8396-449D-BF24-7393336877ED}">
      <text>
        <r>
          <rPr>
            <sz val="9"/>
            <color indexed="81"/>
            <rFont val="Tahoma"/>
            <family val="2"/>
          </rPr>
          <t>Write lock: "factory_register_lock_wr"_x000D_
Read lock: "customer_register_lock_rd"</t>
        </r>
      </text>
    </comment>
    <comment ref="F103" authorId="0" shapeId="0" xr:uid="{62CFE382-3AA4-4335-91E9-113C124CCA02}">
      <text>
        <r>
          <rPr>
            <sz val="9"/>
            <color indexed="81"/>
            <rFont val="Tahoma"/>
            <family val="2"/>
          </rPr>
          <t>Field Name: v2_sec_x000D_
Access Mode:RO_x000D_
Description: {registered false} {hdl_path v2_sec_toids}</t>
        </r>
      </text>
    </comment>
    <comment ref="V103" authorId="0" shapeId="0" xr:uid="{C5308D35-7342-4D9F-9918-BA47A56274E5}">
      <text>
        <r>
          <rPr>
            <sz val="9"/>
            <color indexed="81"/>
            <rFont val="Tahoma"/>
            <family val="2"/>
          </rPr>
          <t>Field Name: v1_sec_x000D_
Access Mode:RO_x000D_
Description: {registered false} {hdl_path v1_sec_toids}</t>
        </r>
      </text>
    </comment>
    <comment ref="D104" authorId="0" shapeId="0" xr:uid="{58561678-49D7-47B9-8CD0-BF2C4D0E8349}">
      <text>
        <r>
          <rPr>
            <sz val="9"/>
            <color indexed="81"/>
            <rFont val="Tahoma"/>
            <family val="2"/>
          </rPr>
          <t>Write lock: "factory_register_lock_wr"_x000D_
Read lock: "customer_register_lock_rd"</t>
        </r>
      </text>
    </comment>
    <comment ref="F104" authorId="0" shapeId="0" xr:uid="{5522FE82-F737-48D2-B080-E2A57D56EFC1}">
      <text>
        <r>
          <rPr>
            <sz val="9"/>
            <color indexed="81"/>
            <rFont val="Tahoma"/>
            <family val="2"/>
          </rPr>
          <t>Field Name: kr_comp_x000D_
Access Mode:RO_x000D_
Description:Compensated KR (after trimming + factory gain-offset + customer gain-offset, input to the BW_sel LPF)._x000D_
_x000D_
 {registered false} {hdl_path kr_comp_toids}</t>
        </r>
      </text>
    </comment>
    <comment ref="D105" authorId="0" shapeId="0" xr:uid="{C921236F-B03A-4E8F-92A7-C8F997115E4A}">
      <text>
        <r>
          <rPr>
            <sz val="9"/>
            <color indexed="81"/>
            <rFont val="Tahoma"/>
            <family val="2"/>
          </rPr>
          <t>Write lock: "factory_register_lock_wr"_x000D_
Read lock: "customer_register_lock_rd"</t>
        </r>
      </text>
    </comment>
    <comment ref="T105" authorId="0" shapeId="0" xr:uid="{9AB1219D-AAEF-4700-9DB8-9A88D1D605B2}">
      <text>
        <r>
          <rPr>
            <sz val="9"/>
            <color indexed="81"/>
            <rFont val="Tahoma"/>
            <family val="2"/>
          </rPr>
          <t>Field Name: p_sec_x000D_
Access Mode:RO_x000D_
Description:V1_sec / V2_sec._x000D_
_x000D_
 {registered false} {hdl_path p_sec_toids}</t>
        </r>
      </text>
    </comment>
    <comment ref="D106" authorId="0" shapeId="0" xr:uid="{D3B82AC9-F694-402A-8B44-6E3B1CB14000}">
      <text>
        <r>
          <rPr>
            <sz val="9"/>
            <color indexed="81"/>
            <rFont val="Tahoma"/>
            <family val="2"/>
          </rPr>
          <t>Write lock: "factory_register_lock_wr"_x000D_
Read lock: "customer_register_lock_rd"</t>
        </r>
      </text>
    </comment>
    <comment ref="F106" authorId="0" shapeId="0" xr:uid="{A75C85C3-638D-42B7-86FA-60F89E8B4901}">
      <text>
        <r>
          <rPr>
            <sz val="9"/>
            <color indexed="81"/>
            <rFont val="Tahoma"/>
            <family val="2"/>
          </rPr>
          <t>Field Name: lin_out_x000D_
Access Mode:RO_x000D_
Description:Output of linearization block._x000D_
_x000D_
 {registered false} {hdl_path lin_out_toids}</t>
        </r>
      </text>
    </comment>
    <comment ref="V106" authorId="0" shapeId="0" xr:uid="{DC2888C3-1C4C-4B55-9AFB-3A6254700BE9}">
      <text>
        <r>
          <rPr>
            <sz val="9"/>
            <color indexed="81"/>
            <rFont val="Tahoma"/>
            <family val="2"/>
          </rPr>
          <t>Field Name: bw_sel_out_x000D_
Access Mode:RO_x000D_
Description:BW selection LPF output._x000D_
_x000D_
 {registered false} {hdl_path bw_sel_out_toids}</t>
        </r>
      </text>
    </comment>
    <comment ref="D107" authorId="0" shapeId="0" xr:uid="{84E7D6E8-FFC7-4328-AF48-5109870B1B5B}">
      <text>
        <r>
          <rPr>
            <sz val="9"/>
            <color indexed="81"/>
            <rFont val="Tahoma"/>
            <family val="2"/>
          </rPr>
          <t>Write lock: "customer_register_lock_wr"_x000D_
Read lock: "customer_register_lock_rd"</t>
        </r>
      </text>
    </comment>
    <comment ref="H107" authorId="0" shapeId="0" xr:uid="{103A62F3-5D3E-4B37-9AFB-16D61E938432}">
      <text>
        <r>
          <rPr>
            <sz val="9"/>
            <color indexed="81"/>
            <rFont val="Tahoma"/>
            <family val="2"/>
          </rPr>
          <t>Field Name: sent_debug_x000D_
Access Mode:RO_x000D_
Description:SENT Debug information:_x000D_
\s29:27  PHY state_x000D_
\s26        Bad sequencer state_x000D_
\s25        SSENT error_x000D_
\s24        Bus synchronized_x000D_
\s23:20  Sequencer state_x000D_
\s19:18  Last interpreted ID off bus_x000D_
\s17:9    Last measured high pulse in ticks_x000D_
\s8:0      Last measured low pulse in ticks_x000D_
_x000D_
 {registered false} {hdl_path debug}</t>
        </r>
      </text>
    </comment>
    <comment ref="D108" authorId="0" shapeId="0" xr:uid="{E705D5D4-34DE-48B9-8E1E-54410A2A7345}">
      <text>
        <r>
          <rPr>
            <sz val="9"/>
            <color indexed="81"/>
            <rFont val="Tahoma"/>
            <family val="2"/>
          </rPr>
          <t>Write lock: "customer_register_lock_wr"_x000D_
Read lock: "customer_register_lock_rd"</t>
        </r>
      </text>
    </comment>
    <comment ref="F108" authorId="0" shapeId="0" xr:uid="{8A6C051E-7DA4-4726-B50E-C253A250436A}">
      <text>
        <r>
          <rPr>
            <sz val="9"/>
            <color indexed="81"/>
            <rFont val="Tahoma"/>
            <family val="2"/>
          </rPr>
          <t>Field Name: vol_fill_me_64_x000D_
Access Mode:RW_x000D_
Description:Reserved for spare purposes._x000D_
 {hdl_path vol_fill_me_64_q}</t>
        </r>
      </text>
    </comment>
    <comment ref="AI108" authorId="0" shapeId="0" xr:uid="{3621AC70-DB6D-4729-8A73-971EB4F52B60}">
      <text>
        <r>
          <rPr>
            <sz val="9"/>
            <color indexed="81"/>
            <rFont val="Tahoma"/>
            <family val="2"/>
          </rPr>
          <t>Field Name: comm_test_x000D_
Access Mode:RW_x000D_
Description:Reserved for communication testing purposes._x000D_
 {hdl_path comm_test_q}</t>
        </r>
      </text>
    </comment>
    <comment ref="D109" authorId="0" shapeId="0" xr:uid="{40AD4888-0038-4B9C-AECF-30FD83534038}">
      <text>
        <r>
          <rPr>
            <sz val="9"/>
            <color indexed="81"/>
            <rFont val="Tahoma"/>
            <family val="2"/>
          </rPr>
          <t>Write lock: "factory_register_lock_wr"_x000D_
Read lock: "customer_register_lock_rd"</t>
        </r>
      </text>
    </comment>
    <comment ref="F109" authorId="0" shapeId="0" xr:uid="{ABFDF410-21EE-4D0D-93B9-53BEA35F412D}">
      <text>
        <r>
          <rPr>
            <sz val="9"/>
            <color indexed="81"/>
            <rFont val="Tahoma"/>
            <family val="2"/>
          </rPr>
          <t>Field Name: lbist_exp_misr_final_x000D_
Access Mode:RO_x000D_
Description:Expected LBIST signature._x000D_
_x000D_
 {registered false} {hdl_path lbist_exp_misr_final_toids}</t>
        </r>
      </text>
    </comment>
    <comment ref="D110" authorId="0" shapeId="0" xr:uid="{0A6B805D-3732-4438-91C1-830A52157940}">
      <text>
        <r>
          <rPr>
            <sz val="9"/>
            <color indexed="81"/>
            <rFont val="Tahoma"/>
            <family val="2"/>
          </rPr>
          <t>Write lock: "factory_register_lock_wr"_x000D_
Read lock: "customer_register_lock_rd"</t>
        </r>
      </text>
    </comment>
    <comment ref="F110" authorId="0" shapeId="0" xr:uid="{D6DC9134-B5FD-4B5A-9C23-3937D031AB82}">
      <text>
        <r>
          <rPr>
            <sz val="9"/>
            <color indexed="81"/>
            <rFont val="Tahoma"/>
            <family val="2"/>
          </rPr>
          <t>Field Name: lbist_calc_misr_final_x000D_
Access Mode:RO_x000D_
Description:Calculated LBIST signature._x000D_
_x000D_
 {registered false} {hdl_path calc_misr_final_toids}</t>
        </r>
      </text>
    </comment>
    <comment ref="D111" authorId="0" shapeId="0" xr:uid="{496567F5-D763-40B0-86DF-D0E4A452448C}">
      <text>
        <r>
          <rPr>
            <sz val="9"/>
            <color indexed="81"/>
            <rFont val="Tahoma"/>
            <family val="2"/>
          </rPr>
          <t>Write lock: "factory_register_lock_wr"_x000D_
Read lock: "customer_register_lock_rd"</t>
        </r>
      </text>
    </comment>
    <comment ref="V111" authorId="0" shapeId="0" xr:uid="{F46A1B44-AA40-4B6F-A22A-471D9C0D7C58}">
      <text>
        <r>
          <rPr>
            <sz val="9"/>
            <color indexed="81"/>
            <rFont val="Tahoma"/>
            <family val="2"/>
          </rPr>
          <t>Field Name: abist_calc_signature_x000D_
Access Mode:RO_x000D_
Description:Calculated ABIST signature._x000D_
_x000D_
 {registered false} {hdl_path abist_signature}</t>
        </r>
      </text>
    </comment>
    <comment ref="D112" authorId="0" shapeId="0" xr:uid="{01C26BDC-5693-4685-A05D-46D9EA2499C8}">
      <text>
        <r>
          <rPr>
            <sz val="9"/>
            <color indexed="81"/>
            <rFont val="Tahoma"/>
            <family val="2"/>
          </rPr>
          <t>Write lock: "factory_register_lock_wr"_x000D_
Read lock: "customer_register_lock_rd"</t>
        </r>
      </text>
    </comment>
    <comment ref="U112" authorId="0" shapeId="0" xr:uid="{22EDA817-C6DB-4655-9725-18B3365BAA04}">
      <text>
        <r>
          <rPr>
            <sz val="9"/>
            <color indexed="81"/>
            <rFont val="Tahoma"/>
            <family val="2"/>
          </rPr>
          <t>Field Name: clmp_out_override_x000D_
Access Mode:RW_x000D_
Description:When '1', the output clamper is overridden._x000D_
 {hdl_path clmp_out_override_q}</t>
        </r>
      </text>
    </comment>
    <comment ref="V112" authorId="0" shapeId="0" xr:uid="{A52365FC-530C-43AA-AF51-06B8ECD5E643}">
      <text>
        <r>
          <rPr>
            <sz val="9"/>
            <color indexed="81"/>
            <rFont val="Tahoma"/>
            <family val="2"/>
          </rPr>
          <t>Field Name: clmp_out_val_x000D_
Access Mode:RW_x000D_
Description:When clmp_out_override is '1' this field is the value to be overwritten at the clamper output. Otherwise, it is the current clamper output._x000D_
 {hdl_path clmp_out_val_q}</t>
        </r>
      </text>
    </comment>
    <comment ref="D119" authorId="0" shapeId="0" xr:uid="{C7443B02-336F-422C-AA52-7ABCE0E3F8A3}">
      <text>
        <r>
          <rPr>
            <sz val="9"/>
            <color indexed="81"/>
            <rFont val="Tahoma"/>
            <family val="2"/>
          </rPr>
          <t>Write lock: "customer_register_lock_wr"_x000D_
Read lock: "customer_register_lock_rd"</t>
        </r>
      </text>
    </comment>
    <comment ref="F119" authorId="0" shapeId="0" xr:uid="{BDFE3518-B451-4652-AB71-FD1F902365C2}">
      <text>
        <r>
          <rPr>
            <sz val="9"/>
            <color indexed="81"/>
            <rFont val="Tahoma"/>
            <family val="2"/>
          </rPr>
          <t>Field Name: manch_comm_e_x000D_
Access Mode:RW_x000D_
Description:Allows continues Manchester R/W commands with the analog output being disabled without overdriving the output pin nor OVLO signaling._x000D_
 {hdl_path manch_comm_e_q}</t>
        </r>
      </text>
    </comment>
    <comment ref="G119" authorId="0" shapeId="0" xr:uid="{A17C71E4-A412-4742-ABBD-C20582CECAB6}">
      <text>
        <r>
          <rPr>
            <sz val="9"/>
            <color indexed="81"/>
            <rFont val="Tahoma"/>
            <family val="2"/>
          </rPr>
          <t>Field Name: vol_fill_me_70_x000D_
Access Mode:RW_x000D_
Description:Reserved for spare purposes._x000D_
 {hdl_path vol_fill_me_70_q}</t>
        </r>
      </text>
    </comment>
    <comment ref="D120" authorId="0" shapeId="0" xr:uid="{E0FDC305-8BA9-4223-91B4-B47670E04DC8}">
      <text>
        <r>
          <rPr>
            <sz val="9"/>
            <color indexed="81"/>
            <rFont val="Tahoma"/>
            <family val="2"/>
          </rPr>
          <t>Write lock: "customer_register_lock_wr"_x000D_
Read lock: "customer_register_lock_rd"</t>
        </r>
      </text>
    </comment>
    <comment ref="AD120" authorId="0" shapeId="0" xr:uid="{D03097BD-9453-4A9F-BCB4-3192FD39E011}">
      <text>
        <r>
          <rPr>
            <sz val="9"/>
            <color indexed="81"/>
            <rFont val="Tahoma"/>
            <family val="2"/>
          </rPr>
          <t>Field Name: status_0_x000D_
Access Mode:RO_x000D_
Description:Status register 0._x000D_
[7]: sl_error_x000D_
[6]: sl_v1_div_v2_oor_x000D_
[5]: sl_v1_m_v2_oor_x000D_
[4]: ids_shadow_parity_err_x000D_
[3]: a_coil_current_ov_x000D_
[2]: sup_hv_err_x000D_
[1]: sup_ov_err_x000D_
[0]: sup_uv_err_x000D_
_x000D_
 {registered false} {hdl_path status_0}</t>
        </r>
      </text>
    </comment>
    <comment ref="D121" authorId="0" shapeId="0" xr:uid="{D7258038-ED42-4CA6-8A8F-EDFC7D9549A6}">
      <text>
        <r>
          <rPr>
            <sz val="9"/>
            <color indexed="81"/>
            <rFont val="Tahoma"/>
            <family val="2"/>
          </rPr>
          <t>Write lock: "customer_register_lock_wr"_x000D_
Read lock: "customer_register_lock_rd"</t>
        </r>
      </text>
    </comment>
    <comment ref="H121" authorId="0" shapeId="0" xr:uid="{68DDBC0F-D3FD-4B64-B748-FAE37F213F12}">
      <text>
        <r>
          <rPr>
            <sz val="9"/>
            <color indexed="81"/>
            <rFont val="Tahoma"/>
            <family val="2"/>
          </rPr>
          <t>Field Name: status_1_x000D_
Access Mode:RO_x000D_
Description:Status register 1._x000D_
[29]: sl_v1_m_v2_oor_hi_x000D_
[28]: sl_v1_m_v2_oor_lo_x000D_
[27]: sl_v1_div_v2_oor_hi_x000D_
[26]: sl_v1_div_v2_oor_lo_x000D_
[25]: sl_kalman_p_oor_hi_x000D_
[24]: sl_kalman_p_oor_lo_x000D_
[23]: sl_rrl_int1_oor_hi_x000D_
[22]: sl_rrl_int1_oor_lo_x000D_
[21]: sl_rrl_int2_oor_hi_x000D_
[20]: sl_rrl_int2_oor_lo_x000D_
[19]: sl_bwsel_oor_hi_x000D_
[18]: sl_bwsel_oor_lo_x000D_
[17]: sl_div_by_zero_x000D_
[16]: sl_rrl_cic21_oor_hi_x000D_
[15]: sl_rrl_cic21_oor_lo_x000D_
[14]: sl_rrl_cic22_oor_hi_x000D_
[13]: sl_rrl_cic22_oor_lo_x000D_
[12]: sl_p_oor_hi_x000D_
[11]: sl_p_sec_oor_hi_x000D_
[10]: sl_linearization_oor_hi_x000D_
[9]: sl_linearization_oor_lo_x000D_
[8]: sl_clmp_oor_hi_x000D_
[7]: sl_clmp_oor_lo_x000D_
[6]: sl_rrl_cic11_oor_hi_x000D_
[5]: sl_rrl_cic11_oor_lo_x000D_
[4]: sl_rrl_cic12_oor_hi_x000D_
[3]: sl_rrl_cic12_oor_lo_x000D_
[2]: sl_cic41_sign_error_x000D_
[1]: sl_cic42_sign_error_x000D_
[0]: sl_v1_m_v2_sign_error_x000D_
_x000D_
 {registered false} {hdl_path status_1}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7" authorId="0" shapeId="0" xr:uid="{DD90D571-E8B8-4F30-AAA0-635023AEFF7C}">
      <text>
        <r>
          <rPr>
            <sz val="9"/>
            <color indexed="81"/>
            <rFont val="Tahoma"/>
            <family val="2"/>
          </rPr>
          <t>Write lock: "factory_eeprom_lock_wr"_x000D_
Read lock: "factory_eeprom_lock_rd"</t>
        </r>
      </text>
    </comment>
    <comment ref="E7" authorId="0" shapeId="0" xr:uid="{178BC97B-9670-4F4C-BEE9-558DAF6FD08F}">
      <text>
        <r>
          <rPr>
            <sz val="9"/>
            <color indexed="81"/>
            <rFont val="Tahoma"/>
            <family val="2"/>
          </rPr>
          <t xml:space="preserve">Field Name: ecc_0_x000D_
Access Mode:RW_x000D_
Description:Error correction code. </t>
        </r>
      </text>
    </comment>
    <comment ref="K7" authorId="0" shapeId="0" xr:uid="{9E52D13C-2CE6-47C5-98B5-A5BD8891939C}">
      <text>
        <r>
          <rPr>
            <sz val="9"/>
            <color indexed="81"/>
            <rFont val="Tahoma"/>
            <family val="2"/>
          </rPr>
          <t xml:space="preserve">Field Name: itest_x000D_
Access Mode:RW_x000D_
Description:Binary count of test insertions (including retests). </t>
        </r>
      </text>
    </comment>
    <comment ref="O7" authorId="0" shapeId="0" xr:uid="{96222CC4-25B9-465D-A2F1-63873E68F25C}">
      <text>
        <r>
          <rPr>
            <sz val="9"/>
            <color indexed="81"/>
            <rFont val="Tahoma"/>
            <family val="2"/>
          </rPr>
          <t xml:space="preserve">Field Name: y_die_loc_x000D_
Access Mode:RW_x000D_
Description:8 bits Y die location (accommodates up to 256 dies in Y). </t>
        </r>
      </text>
    </comment>
    <comment ref="W7" authorId="0" shapeId="0" xr:uid="{388773A8-A3FE-48B6-992F-2AE4EC972197}">
      <text>
        <r>
          <rPr>
            <sz val="9"/>
            <color indexed="81"/>
            <rFont val="Tahoma"/>
            <family val="2"/>
          </rPr>
          <t xml:space="preserve">Field Name: x_die_loc_x000D_
Access Mode:RW_x000D_
Description:8 bits X die location (accommodates up to 256 dies in X). </t>
        </r>
      </text>
    </comment>
    <comment ref="AE7" authorId="0" shapeId="0" xr:uid="{414DD608-21C2-4876-BCE0-BE3A9B00609A}">
      <text>
        <r>
          <rPr>
            <sz val="9"/>
            <color indexed="81"/>
            <rFont val="Tahoma"/>
            <family val="2"/>
          </rPr>
          <t xml:space="preserve">Field Name: eeprom_rev_x000D_
Access Mode:RW_x000D_
Description:EEPROM revision. </t>
        </r>
      </text>
    </comment>
    <comment ref="C9" authorId="0" shapeId="0" xr:uid="{B67B1541-0F43-415E-B629-DDBDE0BD3A48}">
      <text>
        <r>
          <rPr>
            <sz val="9"/>
            <color indexed="81"/>
            <rFont val="Tahoma"/>
            <family val="2"/>
          </rPr>
          <t>Write lock: "factory_eeprom_lock_wr"_x000D_
Read lock: "factory_eeprom_lock_rd"</t>
        </r>
      </text>
    </comment>
    <comment ref="E9" authorId="0" shapeId="0" xr:uid="{E3E87008-81C4-47AD-B336-DD430565EB01}">
      <text>
        <r>
          <rPr>
            <sz val="9"/>
            <color indexed="81"/>
            <rFont val="Tahoma"/>
            <family val="2"/>
          </rPr>
          <t xml:space="preserve">Field Name: ecc_1_x000D_
Access Mode:RW_x000D_
Description:Error correction code. </t>
        </r>
      </text>
    </comment>
    <comment ref="K9" authorId="0" shapeId="0" xr:uid="{4F26CCCD-2B76-4047-AB4A-921D5DFBE2AF}">
      <text>
        <r>
          <rPr>
            <sz val="9"/>
            <color indexed="81"/>
            <rFont val="Tahoma"/>
            <family val="2"/>
          </rPr>
          <t xml:space="preserve">Field Name: ptest_x000D_
Access Mode:RW_x000D_
Description:Binary last operation identifier (Post Bake 1-3, FT R/H, FT R/C, etc). </t>
        </r>
      </text>
    </comment>
    <comment ref="O9" authorId="0" shapeId="0" xr:uid="{5A22BCA3-44D1-4883-9778-C36A31A22547}">
      <text>
        <r>
          <rPr>
            <sz val="9"/>
            <color indexed="81"/>
            <rFont val="Tahoma"/>
            <family val="2"/>
          </rPr>
          <t xml:space="preserve">Field Name: factory_lot_x000D_
Access Mode:RW_x000D_
Description:Factory Probe Lot (uses 3rd - 7th digits of the lot number). </t>
        </r>
      </text>
    </comment>
    <comment ref="AE9" authorId="0" shapeId="0" xr:uid="{1F799F03-DF10-4A92-8A3B-064687CDEAA3}">
      <text>
        <r>
          <rPr>
            <sz val="9"/>
            <color indexed="81"/>
            <rFont val="Tahoma"/>
            <family val="2"/>
          </rPr>
          <t xml:space="preserve">Field Name: factory_wafer_x000D_
Access Mode:RW_x000D_
Description:Factory Wafer Number (stores up to 64 wafers). </t>
        </r>
      </text>
    </comment>
    <comment ref="C11" authorId="0" shapeId="0" xr:uid="{5D244239-9561-4BC7-B8BF-62C427AF7294}">
      <text>
        <r>
          <rPr>
            <sz val="9"/>
            <color indexed="81"/>
            <rFont val="Tahoma"/>
            <family val="2"/>
          </rPr>
          <t>Write lock: "factory_eeprom_lock_wr"_x000D_
Read lock: "factory_eeprom_lock_rd"</t>
        </r>
      </text>
    </comment>
    <comment ref="E11" authorId="0" shapeId="0" xr:uid="{637DB1B0-DED3-4F4F-8B84-D831AAE88955}">
      <text>
        <r>
          <rPr>
            <sz val="9"/>
            <color indexed="81"/>
            <rFont val="Tahoma"/>
            <family val="2"/>
          </rPr>
          <t xml:space="preserve">Field Name: ecc_2_x000D_
Access Mode:RW_x000D_
Description:Error correction code. </t>
        </r>
      </text>
    </comment>
    <comment ref="K11" authorId="0" shapeId="0" xr:uid="{42E7341C-488F-4EE8-9165-5C86CD17A5FB}">
      <text>
        <r>
          <rPr>
            <sz val="9"/>
            <color indexed="81"/>
            <rFont val="Tahoma"/>
            <family val="2"/>
          </rPr>
          <t xml:space="preserve">Field Name: cas_id_x000D_
Access Mode:RW_x000D_
Description:CAS/ID for Customer code. </t>
        </r>
      </text>
    </comment>
    <comment ref="AA11" authorId="0" shapeId="0" xr:uid="{18614EA9-8F06-45B5-BE11-2F45A32B1496}">
      <text>
        <r>
          <rPr>
            <sz val="9"/>
            <color indexed="81"/>
            <rFont val="Tahoma"/>
            <family val="2"/>
          </rPr>
          <t xml:space="preserve">Field Name: eeprom_post_bake_p_f_x000D_
Access Mode:RW_x000D_
Description:EEPROM post-bake P/F (P=111,F=000), allows clean post-bake multi pass. </t>
        </r>
      </text>
    </comment>
    <comment ref="AD11" authorId="0" shapeId="0" xr:uid="{AB2E2ECE-3A20-412B-8929-92B80288FEB0}">
      <text>
        <r>
          <rPr>
            <sz val="9"/>
            <color indexed="81"/>
            <rFont val="Tahoma"/>
            <family val="2"/>
          </rPr>
          <t xml:space="preserve">Field Name: ee_spare_0_dpe_x000D_
Access Mode:RW_x000D_
Description:Spare bits for DPE and/or future use. </t>
        </r>
      </text>
    </comment>
    <comment ref="C13" authorId="0" shapeId="0" xr:uid="{24D32303-B311-4BFE-8BCE-D6B92CB2E0C2}">
      <text>
        <r>
          <rPr>
            <sz val="9"/>
            <color indexed="81"/>
            <rFont val="Tahoma"/>
            <family val="2"/>
          </rPr>
          <t>Write lock: "factory_eeprom_lock_wr"_x000D_
Read lock: "factory_eeprom_lock_rd"</t>
        </r>
      </text>
    </comment>
    <comment ref="E13" authorId="0" shapeId="0" xr:uid="{5F17621F-57DC-4D9F-BAF7-C2ACD15827AC}">
      <text>
        <r>
          <rPr>
            <sz val="9"/>
            <color indexed="81"/>
            <rFont val="Tahoma"/>
            <family val="2"/>
          </rPr>
          <t xml:space="preserve">Field Name: ecc_3_x000D_
Access Mode:RW_x000D_
Description:Error Code Correction </t>
        </r>
      </text>
    </comment>
    <comment ref="K13" authorId="0" shapeId="0" xr:uid="{7E1F890D-BEFB-4013-AF1A-80AE3B9776C8}">
      <text>
        <r>
          <rPr>
            <sz val="9"/>
            <color indexed="81"/>
            <rFont val="Tahoma"/>
            <family val="2"/>
          </rPr>
          <t xml:space="preserve">Field Name: reserved3_x000D_
Access Mode:RW_x000D_
Description:Reserved register </t>
        </r>
      </text>
    </comment>
    <comment ref="C15" authorId="0" shapeId="0" xr:uid="{C8AE7E5B-1627-40B8-A735-3A7B1DBC87FD}">
      <text>
        <r>
          <rPr>
            <sz val="9"/>
            <color indexed="81"/>
            <rFont val="Tahoma"/>
            <family val="2"/>
          </rPr>
          <t>Write lock: "factory_eeprom_lock_wr"_x000D_
Read lock: "customer_eeprom_lock_rd"</t>
        </r>
      </text>
    </comment>
    <comment ref="E15" authorId="0" shapeId="0" xr:uid="{69A74D0A-73E7-4AAB-9062-7A43B8B8292C}">
      <text>
        <r>
          <rPr>
            <sz val="9"/>
            <color indexed="81"/>
            <rFont val="Tahoma"/>
            <family val="2"/>
          </rPr>
          <t xml:space="preserve">Field Name: ecc_4_x000D_
Access Mode:RW_x000D_
Description:Error correction code. </t>
        </r>
      </text>
    </comment>
    <comment ref="S15" authorId="0" shapeId="0" xr:uid="{E4CAE1FA-49FA-4C8D-A477-5EBB00CB1C9E}">
      <text>
        <r>
          <rPr>
            <sz val="9"/>
            <color indexed="81"/>
            <rFont val="Tahoma"/>
            <family val="2"/>
          </rPr>
          <t xml:space="preserve">Field Name: sup_det_test_e_x000D_
Access Mode:RW_x000D_
Description:Enter supply detect mode.  Drive output to a fixed state based on VCC. </t>
        </r>
      </text>
    </comment>
    <comment ref="T15" authorId="0" shapeId="0" xr:uid="{0CA8D6B8-27B6-42D8-8BDF-6DFBDB49F68F}">
      <text>
        <r>
          <rPr>
            <sz val="9"/>
            <color indexed="81"/>
            <rFont val="Tahoma"/>
            <family val="2"/>
          </rPr>
          <t xml:space="preserve">Field Name: d_sup_uv_sel_x000D_
Access Mode:RW_x000D_
Description:UV threshold trimming._x000D_
'00': Threshold is set to 4.2 V._x000D_
'01': Threshold is set to 4.1 V._x000D_
'10': Threshold is set to 4.3 V._x000D_
'11': Threshold is set to 4.4 V. </t>
        </r>
      </text>
    </comment>
    <comment ref="V15" authorId="0" shapeId="0" xr:uid="{0C9AF1A7-0429-4D17-9533-C77CC48D89DA}">
      <text>
        <r>
          <rPr>
            <sz val="9"/>
            <color indexed="81"/>
            <rFont val="Tahoma"/>
            <family val="2"/>
          </rPr>
          <t xml:space="preserve">Field Name: d_sup_ov_sel_x000D_
Access Mode:RW_x000D_
Description:OV threshold trimming._x000D_
'00': Threshold is set to 7 V._x000D_
'01': Threshold is set to 6.5 V._x000D_
'10': Threshold is set to 7.5 V._x000D_
'11': Threshold is set to 8 V. </t>
        </r>
      </text>
    </comment>
    <comment ref="X15" authorId="0" shapeId="0" xr:uid="{A55327EB-2789-42F4-96B0-DDDCA1DA8487}">
      <text>
        <r>
          <rPr>
            <sz val="9"/>
            <color indexed="81"/>
            <rFont val="Tahoma"/>
            <family val="2"/>
          </rPr>
          <t xml:space="preserve">Field Name: d_sup_hv_sel_x000D_
Access Mode:RW_x000D_
Description:HV threshold trimming._x000D_
'00': Threshold is set to 16 V._x000D_
'01': Threshold is set to 15 V._x000D_
'10': Threshold is set to 14 V._x000D_
'11': Threshold is set to 13 V. </t>
        </r>
      </text>
    </comment>
    <comment ref="Z15" authorId="0" shapeId="0" xr:uid="{1808D9FD-133B-4D22-AF5B-D6DA8ADABF01}">
      <text>
        <r>
          <rPr>
            <sz val="9"/>
            <color indexed="81"/>
            <rFont val="Tahoma"/>
            <family val="2"/>
          </rPr>
          <t xml:space="preserve">Field Name: d_sup_por_sel_x000D_
Access Mode:RW_x000D_
Description:POR threshold trimming._x000D_
'00': Threshold is set to 3.7 V._x000D_
'01': Threshold is set to 3.6 V._x000D_
'10': Threshold is set to 3.8 V._x000D_
'11': Threshold is set to 3.9 V. </t>
        </r>
      </text>
    </comment>
    <comment ref="AB15" authorId="0" shapeId="0" xr:uid="{834CAF03-2BC7-466E-BB5C-42C40755EDD8}">
      <text>
        <r>
          <rPr>
            <sz val="9"/>
            <color indexed="81"/>
            <rFont val="Tahoma"/>
            <family val="2"/>
          </rPr>
          <t xml:space="preserve">Field Name: d_osc_half_x000D_
Access Mode:RW_x000D_
Description:When '1', the oscillator internally runs at half frequency but its output is always 16MHz nominal. </t>
        </r>
      </text>
    </comment>
    <comment ref="AC15" authorId="0" shapeId="0" xr:uid="{E25BE357-B5F2-4F51-BAA9-C8CB49328004}">
      <text>
        <r>
          <rPr>
            <sz val="9"/>
            <color indexed="81"/>
            <rFont val="Tahoma"/>
            <family val="2"/>
          </rPr>
          <t xml:space="preserve">Field Name: d_osc_trim_x000D_
Access Mode:RW_x000D_
Description:Oscillator trimming during POR data._x000D_
'0000': Nominal freq is set to mean val = 32 MHz._x000D_
'0111': Nominal freq is set to max val = 38.7 MHz_x000D_
'1111': Nominal freq is set to min val = 23.3 MHz._x000D_
LSB step = 1MHz. </t>
        </r>
      </text>
    </comment>
    <comment ref="AG15" authorId="0" shapeId="0" xr:uid="{03201E0B-66A1-49CA-A052-3AABD2209986}">
      <text>
        <r>
          <rPr>
            <sz val="9"/>
            <color indexed="81"/>
            <rFont val="Tahoma"/>
            <family val="2"/>
          </rPr>
          <t xml:space="preserve">Field Name: d_ibias_trim_x000D_
Access Mode:RW_x000D_
Description:Bias current trimming during POR data._x000D_
'0000': Nominal current is  set to mean val = 5uA._x000D_
'1111': Nominal current is  set to min val = 6.6uA._x000D_
'0111': Nominal current is set to max val = 3.18uA._x000D_
LSB step = 228nA. </t>
        </r>
      </text>
    </comment>
    <comment ref="C17" authorId="0" shapeId="0" xr:uid="{AFC839D4-0273-4144-86AF-85A3A5ED161C}">
      <text>
        <r>
          <rPr>
            <sz val="9"/>
            <color indexed="81"/>
            <rFont val="Tahoma"/>
            <family val="2"/>
          </rPr>
          <t>Write lock: "factory_eeprom_lock_wr"_x000D_
Read lock: "customer_eeprom_lock_rd"</t>
        </r>
      </text>
    </comment>
    <comment ref="E17" authorId="0" shapeId="0" xr:uid="{D51158BB-E87E-47B8-A91E-A4A2CCB36320}">
      <text>
        <r>
          <rPr>
            <sz val="9"/>
            <color indexed="81"/>
            <rFont val="Tahoma"/>
            <family val="2"/>
          </rPr>
          <t xml:space="preserve">Field Name: ecc_5_x000D_
Access Mode:RW_x000D_
Description:Error correction code. </t>
        </r>
      </text>
    </comment>
    <comment ref="T17" authorId="0" shapeId="0" xr:uid="{BB343D58-E09D-4CB7-9C06-4B532111C2ED}">
      <text>
        <r>
          <rPr>
            <sz val="9"/>
            <color indexed="81"/>
            <rFont val="Tahoma"/>
            <family val="2"/>
          </rPr>
          <t xml:space="preserve">Field Name: status_1_msk_x000D_
Access Mode:RW_x000D_
Description:Status 1 register mask. When '1', the associated error is disabled._x000D_
[16]: Mask for sl_v1_m_v2_oor_hi andsl_v1_m_v2_oor_lo._x000D_
[15]: Mask for sl_v1_div_v2_oor_hi and sl_v1_div_v2_oor_lo._x000D_
[14]: Mask for sl_kalman_p_oor_hi and sl_kalman_p_oor_lo._x000D_
[13]: Mask for sl_rrl_int1_oor_hi and sl_rrl_int1_oor_lo._x000D_
[12]: Mask for sl_rrl_int2_oor_hi and sl_rrl_int2_oor_lo._x000D_
[11]: Mask for sl_bwsel_oor_hi and sl_bwsel_oor_lo._x000D_
[10]: Mask for sl_div_by_zero._x000D_
[9]: Mask for sl_rrl_cic21_oor_hi and sl_rrl_cic21_oor_hi._x000D_
[8]: Mask for sl_rrl_cic22_oor_hi and sl_rrl_cic22_oor_lo._x000D_
[7]: Mask for sl_p_oor_hi._x000D_
[6]: Mask for sl_p_sec_oor_hi._x000D_
[5]: Mask for sl_linearization_oor_hi and sl_linearization_oor_lo._x000D_
[4]: Mask for sl_clmp_oor_hi and sl_clmp_oor_lo._x000D_
[3]: Mask for sl_rrl_cic11_oor_hi and sl_rrl_cic11_oor_lo._x000D_
[2]: Mask for sl_rrl_cic12_oor_hi and sl_rrl_cic12_oor_lo._x000D_
[1]: Mask for sl_cic41_sign_error and sl_cic42_sign_error._x000D_
[0]: Mask for sl_v1_m_v2_sign_error. </t>
        </r>
      </text>
    </comment>
    <comment ref="C19" authorId="0" shapeId="0" xr:uid="{5731CA89-AB8B-4599-9D8B-A483C7CBCC63}">
      <text>
        <r>
          <rPr>
            <sz val="9"/>
            <color indexed="81"/>
            <rFont val="Tahoma"/>
            <family val="2"/>
          </rPr>
          <t>Write lock: "factory_eeprom_lock_wr"_x000D_
Read lock: "customer_eeprom_lock_rd"</t>
        </r>
      </text>
    </comment>
    <comment ref="E19" authorId="0" shapeId="0" xr:uid="{DB350066-71B0-47AF-A9FF-2BA18C0AEA3D}">
      <text>
        <r>
          <rPr>
            <sz val="9"/>
            <color indexed="81"/>
            <rFont val="Tahoma"/>
            <family val="2"/>
          </rPr>
          <t xml:space="preserve">Field Name: ecc_6_x000D_
Access Mode:RW_x000D_
Description:Error correction code. </t>
        </r>
      </text>
    </comment>
    <comment ref="C21" authorId="0" shapeId="0" xr:uid="{11D64D12-2F77-48C9-9C34-993324E39F0F}">
      <text>
        <r>
          <rPr>
            <sz val="9"/>
            <color indexed="81"/>
            <rFont val="Tahoma"/>
            <family val="2"/>
          </rPr>
          <t>Write lock: "factory_eeprom_lock_wr"_x000D_
Read lock: "customer_eeprom_lock_rd"</t>
        </r>
      </text>
    </comment>
    <comment ref="E21" authorId="0" shapeId="0" xr:uid="{6969CC8C-32BF-4CFB-BAF0-C33D0B02B86B}">
      <text>
        <r>
          <rPr>
            <sz val="9"/>
            <color indexed="81"/>
            <rFont val="Tahoma"/>
            <family val="2"/>
          </rPr>
          <t xml:space="preserve">Field Name: ecc_7_x000D_
Access Mode:RW_x000D_
Description:Error correction code. </t>
        </r>
      </text>
    </comment>
    <comment ref="L21" authorId="0" shapeId="0" xr:uid="{2CE6A738-F961-4564-9070-7F3EAE424DB6}">
      <text>
        <r>
          <rPr>
            <sz val="9"/>
            <color indexed="81"/>
            <rFont val="Tahoma"/>
            <family val="2"/>
          </rPr>
          <t xml:space="preserve">Field Name: d_iscoil_trim_x000D_
Access Mode:RW_x000D_
Description:Secondary coil current trimming._x000D_
'00': Nominal value (200uA)._x000D_
'01': +40%_x000D_
'10': -50%_x000D_
'11': -10% </t>
        </r>
      </text>
    </comment>
    <comment ref="N21" authorId="0" shapeId="0" xr:uid="{9C2A341C-AFD9-4FF4-BB76-970129FD4829}">
      <text>
        <r>
          <rPr>
            <sz val="9"/>
            <color indexed="81"/>
            <rFont val="Tahoma"/>
            <family val="2"/>
          </rPr>
          <t xml:space="preserve">Field Name: d_mcoil_dly_x000D_
Access Mode:RW_x000D_
Description:Main coil clock delay. </t>
        </r>
      </text>
    </comment>
    <comment ref="R21" authorId="0" shapeId="0" xr:uid="{13F5B24A-A77B-452B-82DA-F95EA6E504CC}">
      <text>
        <r>
          <rPr>
            <sz val="9"/>
            <color indexed="81"/>
            <rFont val="Tahoma"/>
            <family val="2"/>
          </rPr>
          <t xml:space="preserve">Field Name: d_sum_channels_x000D_
Access Mode:RW_x000D_
Description:When '1', channels are added/subtracted in the analog domain instead of the digital one. </t>
        </r>
      </text>
    </comment>
    <comment ref="S21" authorId="0" shapeId="0" xr:uid="{CB5C32AE-AAA7-455A-8162-D068C1EE20F7}">
      <text>
        <r>
          <rPr>
            <sz val="9"/>
            <color indexed="81"/>
            <rFont val="Tahoma"/>
            <family val="2"/>
          </rPr>
          <t xml:space="preserve">Field Name: d_offset_coarse_e_x000D_
Access Mode:RW_x000D_
Description:When '1', the coarse offset DAC is enabled. </t>
        </r>
      </text>
    </comment>
    <comment ref="T21" authorId="0" shapeId="0" xr:uid="{E6CC51A9-7BA6-4276-8C3A-F661D5E32546}">
      <text>
        <r>
          <rPr>
            <sz val="9"/>
            <color indexed="81"/>
            <rFont val="Tahoma"/>
            <family val="2"/>
          </rPr>
          <t xml:space="preserve">Field Name: d_offset_coarse_pol_x000D_
Access Mode:RW_x000D_
Description:'0' is negative offset, '1' is positive offset. </t>
        </r>
      </text>
    </comment>
    <comment ref="U21" authorId="0" shapeId="0" xr:uid="{9E93D20F-9EF5-4B10-B20D-ADA276DCCF8E}">
      <text>
        <r>
          <rPr>
            <sz val="9"/>
            <color indexed="81"/>
            <rFont val="Tahoma"/>
            <family val="2"/>
          </rPr>
          <t xml:space="preserve">Field Name: d_offset_coarse_x000D_
Access Mode:RW_x000D_
Description:Coarse adjust of differential offset for each channel for unidirectional mode-like operation._x000D_
'000': Voffset magnitud is set to min val = 250mV._x000D_
'111': Voffset magnitud is set to max val = 2V._x000D_
LSB step = 250mV. </t>
        </r>
      </text>
    </comment>
    <comment ref="X21" authorId="0" shapeId="0" xr:uid="{EC9BEADF-8FD5-4FEF-BB2A-96072FA378AF}">
      <text>
        <r>
          <rPr>
            <sz val="9"/>
            <color indexed="81"/>
            <rFont val="Tahoma"/>
            <family val="2"/>
          </rPr>
          <t xml:space="preserve">Field Name: d_rrl_e_x000D_
Access Mode:RW_x000D_
Description:When '1', RRLs are enabled for both channels. </t>
        </r>
      </text>
    </comment>
    <comment ref="Y21" authorId="0" shapeId="0" xr:uid="{7D564C75-5679-40D2-989A-5D93FF5184AA}">
      <text>
        <r>
          <rPr>
            <sz val="9"/>
            <color indexed="81"/>
            <rFont val="Tahoma"/>
            <family val="2"/>
          </rPr>
          <t xml:space="preserve">Field Name: d_sdm_clk_half_x000D_
Access Mode:RW_x000D_
Description:Bit to set CTSDM at 8MHz instead of 16MHz (default). Analog uses it as an input to adapt the RCs in the modulator. Digital changes the SDM to 8MHz. </t>
        </r>
      </text>
    </comment>
    <comment ref="Z21" authorId="0" shapeId="0" xr:uid="{204836A3-3D3C-4800-A35F-4F8978A239B9}">
      <text>
        <r>
          <rPr>
            <sz val="9"/>
            <color indexed="81"/>
            <rFont val="Tahoma"/>
            <family val="2"/>
          </rPr>
          <t xml:space="preserve">Field Name: d_vcoil_trim_x000D_
Access Mode:RW_x000D_
Description:Fine trimming of Vcoil to set the coil current level._x000D_
'0000': Vcoil is set to min val = 2.3V._x000D_
'1111': Vcoil is set to max val = 3.2375V._x000D_
LSB step = 62.5mV. </t>
        </r>
      </text>
    </comment>
    <comment ref="AD21" authorId="0" shapeId="0" xr:uid="{2B7A58D5-C7E9-4EEB-8AEB-FA0B613A55E5}">
      <text>
        <r>
          <rPr>
            <sz val="9"/>
            <color indexed="81"/>
            <rFont val="Tahoma"/>
            <family val="2"/>
          </rPr>
          <t xml:space="preserve">Field Name: d_sdm_chop_e_x000D_
Access Mode:RW_x000D_
Description:When '1', the Sigma-Delta modulator chopper is enabled. </t>
        </r>
      </text>
    </comment>
    <comment ref="AE21" authorId="0" shapeId="0" xr:uid="{7CDC8F7C-2271-4889-9492-7533F1447FD7}">
      <text>
        <r>
          <rPr>
            <sz val="9"/>
            <color indexed="81"/>
            <rFont val="Tahoma"/>
            <family val="2"/>
          </rPr>
          <t xml:space="preserve">Field Name: d_afe1_gain_x000D_
Access Mode:RW_x000D_
Description:AFE 1 Gain selection._x000D_
'0': Gain set to 12x._x000D_
'1': Gain set to 6x. </t>
        </r>
      </text>
    </comment>
    <comment ref="AF21" authorId="0" shapeId="0" xr:uid="{A450D3BF-D3D5-493B-BEA6-4F8B3BAD1CFB}">
      <text>
        <r>
          <rPr>
            <sz val="9"/>
            <color indexed="81"/>
            <rFont val="Tahoma"/>
            <family val="2"/>
          </rPr>
          <t xml:space="preserve">Field Name: d_afe2_gain_x000D_
Access Mode:RW_x000D_
Description:AFE 2 Gain selection._x000D_
'0': Gain set to 12x._x000D_
'1': Gain set to 6x. </t>
        </r>
      </text>
    </comment>
    <comment ref="AG21" authorId="0" shapeId="0" xr:uid="{A3CF0B65-1C97-42F7-A66C-E8D2EB7DEEC8}">
      <text>
        <r>
          <rPr>
            <sz val="9"/>
            <color indexed="81"/>
            <rFont val="Tahoma"/>
            <family val="2"/>
          </rPr>
          <t xml:space="preserve">Field Name: pga_gain_x000D_
Access Mode:RW_x000D_
Description:PGA Gain selection._x000D_
'00': PGA Gain is set to 1x._x000D_
'01': PGA Gain is set to 1.5x._x000D_
'10': PGA Gain is set to 2x._x000D_
'11': PGA Gain is set to 3x. </t>
        </r>
      </text>
    </comment>
    <comment ref="AI21" authorId="0" shapeId="0" xr:uid="{01A83553-24A9-4AD2-98BA-33469467D08A}">
      <text>
        <r>
          <rPr>
            <sz val="9"/>
            <color indexed="81"/>
            <rFont val="Tahoma"/>
            <family val="2"/>
          </rPr>
          <t xml:space="preserve">Field Name: pga_gain_postlock_x000D_
Access Mode:RW_x000D_
Description:PGA gain selection when RRL is already locked._x000D_
'00': PGA Gain is set to 1x._x000D_
'01': PGA Gain is set to 1.5x._x000D_
'10': PGA Gain is set to 2x._x000D_
'11': PGA Gain is set to 3x. </t>
        </r>
      </text>
    </comment>
    <comment ref="C23" authorId="0" shapeId="0" xr:uid="{58BF0528-49FB-4F3A-A229-98FC81E1E427}">
      <text>
        <r>
          <rPr>
            <sz val="9"/>
            <color indexed="81"/>
            <rFont val="Tahoma"/>
            <family val="2"/>
          </rPr>
          <t>Write lock: "factory_eeprom_lock_wr"_x000D_
Read lock: "customer_eeprom_lock_rd"</t>
        </r>
      </text>
    </comment>
    <comment ref="E23" authorId="0" shapeId="0" xr:uid="{9F30FD81-B262-42FA-B6AA-42AC1BD25FB0}">
      <text>
        <r>
          <rPr>
            <sz val="9"/>
            <color indexed="81"/>
            <rFont val="Tahoma"/>
            <family val="2"/>
          </rPr>
          <t xml:space="preserve">Field Name: ecc_8_x000D_
Access Mode:RW_x000D_
Description:Error correction code. </t>
        </r>
      </text>
    </comment>
    <comment ref="K23" authorId="0" shapeId="0" xr:uid="{6ADA4A34-AEFD-4142-84E6-64A8D8D3766C}">
      <text>
        <r>
          <rPr>
            <sz val="9"/>
            <color indexed="81"/>
            <rFont val="Tahoma"/>
            <family val="2"/>
          </rPr>
          <t xml:space="preserve">Field Name: rrl_clock_polarity_x000D_
Access Mode:RW_x000D_
Description:When '1', the RRL clock polarity is inverted. </t>
        </r>
      </text>
    </comment>
    <comment ref="L23" authorId="0" shapeId="0" xr:uid="{E8679826-9893-4B31-8648-0DBA39D06354}">
      <text>
        <r>
          <rPr>
            <sz val="9"/>
            <color indexed="81"/>
            <rFont val="Tahoma"/>
            <family val="2"/>
          </rPr>
          <t xml:space="preserve">Field Name: mcoil_polarity_x000D_
Access Mode:RW_x000D_
Description:When '1', the main coil clock polarity is inverted. </t>
        </r>
      </text>
    </comment>
    <comment ref="M23" authorId="0" shapeId="0" xr:uid="{9461E081-510C-4EBC-971B-234FDE1080BF}">
      <text>
        <r>
          <rPr>
            <sz val="9"/>
            <color indexed="81"/>
            <rFont val="Tahoma"/>
            <family val="2"/>
          </rPr>
          <t xml:space="preserve">Field Name: scoil_polarity_x000D_
Access Mode:RW_x000D_
Description:When '1', the secondary coil clock polarity is inverted. </t>
        </r>
      </text>
    </comment>
    <comment ref="N23" authorId="0" shapeId="0" xr:uid="{84CF0DF2-5435-4014-8710-8EE3E4FC2EBC}">
      <text>
        <r>
          <rPr>
            <sz val="9"/>
            <color indexed="81"/>
            <rFont val="Tahoma"/>
            <family val="2"/>
          </rPr>
          <t xml:space="preserve">Field Name: tmr_polarity_x000D_
Access Mode:RW_x000D_
Description:When '1', TMR clock polarity is inverted. </t>
        </r>
      </text>
    </comment>
    <comment ref="O23" authorId="0" shapeId="0" xr:uid="{18A4BEED-58AC-4716-8CBB-A2B5302F5237}">
      <text>
        <r>
          <rPr>
            <sz val="9"/>
            <color indexed="81"/>
            <rFont val="Tahoma"/>
            <family val="2"/>
          </rPr>
          <t xml:space="preserve">Field Name: rrl_for_test_x000D_
Access Mode:RW_x000D_
Description:When '1', RRL used for testing instead of offset reduction. </t>
        </r>
      </text>
    </comment>
    <comment ref="P23" authorId="0" shapeId="0" xr:uid="{5863E5CC-655D-48F8-8659-89C637281292}">
      <text>
        <r>
          <rPr>
            <sz val="9"/>
            <color indexed="81"/>
            <rFont val="Tahoma"/>
            <family val="2"/>
          </rPr>
          <t xml:space="preserve">Field Name: swp_channels_x000D_
Access Mode:RW_x000D_
Description:When '1', digital channels are swapped before division. </t>
        </r>
      </text>
    </comment>
    <comment ref="Q23" authorId="0" shapeId="0" xr:uid="{33CFF4B3-670C-44B1-8B9F-5BF9050BC05C}">
      <text>
        <r>
          <rPr>
            <sz val="9"/>
            <color indexed="81"/>
            <rFont val="Tahoma"/>
            <family val="2"/>
          </rPr>
          <t xml:space="preserve">Field Name: scoil_dis_x000D_
Access Mode:RW_x000D_
Description:When '1', the secondary coil is disabled during normal operation (not for ABIST).  </t>
        </r>
      </text>
    </comment>
    <comment ref="R23" authorId="0" shapeId="0" xr:uid="{C051187C-A6B1-4B13-9CED-0C40B61BBEC3}">
      <text>
        <r>
          <rPr>
            <sz val="9"/>
            <color indexed="81"/>
            <rFont val="Tahoma"/>
            <family val="2"/>
          </rPr>
          <t xml:space="preserve">Field Name: tt_hys_x000D_
Access Mode:RW_x000D_
Description:Tiny temp hysteresis window in LSBs. </t>
        </r>
      </text>
    </comment>
    <comment ref="W23" authorId="0" shapeId="0" xr:uid="{0F53B710-746B-4734-A1EE-410E703EEB6F}">
      <text>
        <r>
          <rPr>
            <sz val="9"/>
            <color indexed="81"/>
            <rFont val="Tahoma"/>
            <family val="2"/>
          </rPr>
          <t xml:space="preserve">Field Name: tt_hys_e_x000D_
Access Mode:RW_x000D_
Description:Tiny temp hysterisis enable. </t>
        </r>
      </text>
    </comment>
    <comment ref="X23" authorId="0" shapeId="0" xr:uid="{03FE2D0F-37BD-4932-A890-36666959F83B}">
      <text>
        <r>
          <rPr>
            <sz val="9"/>
            <color indexed="81"/>
            <rFont val="Tahoma"/>
            <family val="2"/>
          </rPr>
          <t xml:space="preserve">Field Name: tt_toff_x000D_
Access Mode:RW_x000D_
Description:Tiny temp offset compensation (two's complement from -128 to +127)._x000D_
Effective offset: 4 x tt_toff. </t>
        </r>
      </text>
    </comment>
    <comment ref="AF23" authorId="0" shapeId="0" xr:uid="{C08477F5-0374-4655-A3B5-23E346F2984A}">
      <text>
        <r>
          <rPr>
            <sz val="9"/>
            <color indexed="81"/>
            <rFont val="Tahoma"/>
            <family val="2"/>
          </rPr>
          <t xml:space="preserve">Field Name: tt_chop_dis_x000D_
Access Mode:RW_x000D_
Description:When '1', Tiny Temp chopper is disabled. </t>
        </r>
      </text>
    </comment>
    <comment ref="AG23" authorId="0" shapeId="0" xr:uid="{5277223C-BD9B-40F9-BEAE-0D53CE1DDF11}">
      <text>
        <r>
          <rPr>
            <sz val="9"/>
            <color indexed="81"/>
            <rFont val="Tahoma"/>
            <family val="2"/>
          </rPr>
          <t xml:space="preserve">Field Name: kalman_p_gain_x000D_
Access Mode:RW_x000D_
Description:Kalman filter for P divisor gain selection._x000D_
'00': 1/8_x000D_
'01': 1/16_x000D_
'10': 1/32_x000D_
'11': 1/64 </t>
        </r>
      </text>
    </comment>
    <comment ref="AI23" authorId="0" shapeId="0" xr:uid="{0CAAFC93-20BD-4BDB-94A3-9A6D96DA9877}">
      <text>
        <r>
          <rPr>
            <sz val="9"/>
            <color indexed="81"/>
            <rFont val="Tahoma"/>
            <family val="2"/>
          </rPr>
          <t xml:space="preserve">Field Name: kalman_p_e_x000D_
Access Mode:RW_x000D_
Description:Enables Kalman filter for P divisor. </t>
        </r>
      </text>
    </comment>
    <comment ref="AJ23" authorId="0" shapeId="0" xr:uid="{3E24DEB1-24B9-4EC7-8A1C-30E6924684F2}">
      <text>
        <r>
          <rPr>
            <sz val="9"/>
            <color indexed="81"/>
            <rFont val="Tahoma"/>
            <family val="2"/>
          </rPr>
          <t xml:space="preserve">Field Name: afe_chop_e_x000D_
Access Mode:RW_x000D_
Description:When '1', chopper is enabled for both channels AFE. </t>
        </r>
      </text>
    </comment>
    <comment ref="C25" authorId="0" shapeId="0" xr:uid="{1C772B81-28F2-465F-93E7-45852D36E3B5}">
      <text>
        <r>
          <rPr>
            <sz val="9"/>
            <color indexed="81"/>
            <rFont val="Tahoma"/>
            <family val="2"/>
          </rPr>
          <t>Write lock: "factory_eeprom_lock_wr"_x000D_
Read lock: "customer_eeprom_lock_rd"</t>
        </r>
      </text>
    </comment>
    <comment ref="E25" authorId="0" shapeId="0" xr:uid="{C6FFFAA1-F9F0-43E1-9934-DD3C3D5607EE}">
      <text>
        <r>
          <rPr>
            <sz val="9"/>
            <color indexed="81"/>
            <rFont val="Tahoma"/>
            <family val="2"/>
          </rPr>
          <t xml:space="preserve">Field Name: ecc_9_x000D_
Access Mode:RW_x000D_
Description:Error correction code. </t>
        </r>
      </text>
    </comment>
    <comment ref="O25" authorId="0" shapeId="0" xr:uid="{5250CCA6-BCEB-4C5D-804A-D532757F0657}">
      <text>
        <r>
          <rPr>
            <sz val="9"/>
            <color indexed="81"/>
            <rFont val="Tahoma"/>
            <family val="2"/>
          </rPr>
          <t xml:space="preserve">Field Name: block_volatile_output_x000D_
Access Mode:RW_x000D_
Description:Block volatile outputs to avoid false test mode activating. </t>
        </r>
      </text>
    </comment>
    <comment ref="P25" authorId="0" shapeId="0" xr:uid="{94D68717-19E7-4CA1-A40E-4A7EF98B9F04}">
      <text>
        <r>
          <rPr>
            <sz val="9"/>
            <color indexed="81"/>
            <rFont val="Tahoma"/>
            <family val="2"/>
          </rPr>
          <t xml:space="preserve">Field Name: comp_e_x000D_
Access Mode:RW_x000D_
Description:When '1', temperature compensation is enabled. Otherwise it is bypassed. </t>
        </r>
      </text>
    </comment>
    <comment ref="Q25" authorId="0" shapeId="0" xr:uid="{09E937F3-63A8-45D6-A7FA-8DDD3BF47FAB}">
      <text>
        <r>
          <rPr>
            <sz val="9"/>
            <color indexed="81"/>
            <rFont val="Tahoma"/>
            <family val="2"/>
          </rPr>
          <t xml:space="preserve">Field Name: vo1_tc_x000D_
Access Mode:RW_x000D_
Description:V1 offset TC (two's complement from -512 to +511). </t>
        </r>
      </text>
    </comment>
    <comment ref="AA25" authorId="0" shapeId="0" xr:uid="{7AA39EBE-F13D-4FB6-8976-A67B0E8F275A}">
      <text>
        <r>
          <rPr>
            <sz val="9"/>
            <color indexed="81"/>
            <rFont val="Tahoma"/>
            <family val="2"/>
          </rPr>
          <t xml:space="preserve">Field Name: vo1_room_x000D_
Access Mode:RW_x000D_
Description:V1 offset at 25?C (two's complement from -512 to +511). </t>
        </r>
      </text>
    </comment>
    <comment ref="C27" authorId="0" shapeId="0" xr:uid="{9A8B59A0-5A5F-4547-BBDB-6B664767075B}">
      <text>
        <r>
          <rPr>
            <sz val="9"/>
            <color indexed="81"/>
            <rFont val="Tahoma"/>
            <family val="2"/>
          </rPr>
          <t>Write lock: "factory_eeprom_lock_wr"_x000D_
Read lock: "customer_eeprom_lock_rd"</t>
        </r>
      </text>
    </comment>
    <comment ref="E27" authorId="0" shapeId="0" xr:uid="{A6EE1D9C-38D8-41C4-869D-191078E116D5}">
      <text>
        <r>
          <rPr>
            <sz val="9"/>
            <color indexed="81"/>
            <rFont val="Tahoma"/>
            <family val="2"/>
          </rPr>
          <t xml:space="preserve">Field Name: ecc_a_x000D_
Access Mode:RW_x000D_
Description:Error correction code. </t>
        </r>
      </text>
    </comment>
    <comment ref="K27" authorId="0" shapeId="0" xr:uid="{E7121CFA-F94B-472B-B4B5-77F2B1377C53}">
      <text>
        <r>
          <rPr>
            <sz val="9"/>
            <color indexed="81"/>
            <rFont val="Tahoma"/>
            <family val="2"/>
          </rPr>
          <t xml:space="preserve">Field Name: rrl_clock_delay_x000D_
Access Mode:RW_x000D_
Description:RRL clock delay trimming._x000D_
When RRL used for test, nominal delay value is d17._x000D_
When RRL used for chopper, nominal delay value is d14. </t>
        </r>
      </text>
    </comment>
    <comment ref="Q27" authorId="0" shapeId="0" xr:uid="{ACFE6C8A-E722-4A68-86E1-2CB4FE7AC335}">
      <text>
        <r>
          <rPr>
            <sz val="9"/>
            <color indexed="81"/>
            <rFont val="Tahoma"/>
            <family val="2"/>
          </rPr>
          <t xml:space="preserve">Field Name: vo2_tc_x000D_
Access Mode:RW_x000D_
Description:V2 offset TC (two's complement from -512 to +511). </t>
        </r>
      </text>
    </comment>
    <comment ref="AA27" authorId="0" shapeId="0" xr:uid="{2C235B20-C766-41A7-9A14-227A23832C55}">
      <text>
        <r>
          <rPr>
            <sz val="9"/>
            <color indexed="81"/>
            <rFont val="Tahoma"/>
            <family val="2"/>
          </rPr>
          <t xml:space="preserve">Field Name: vo2_room_x000D_
Access Mode:RW_x000D_
Description:V2 offset at 25?C (two's complement from -512 to +511). </t>
        </r>
      </text>
    </comment>
    <comment ref="C29" authorId="0" shapeId="0" xr:uid="{C934FD69-FF0B-4DE3-A79B-BC2A254A9DFA}">
      <text>
        <r>
          <rPr>
            <sz val="9"/>
            <color indexed="81"/>
            <rFont val="Tahoma"/>
            <family val="2"/>
          </rPr>
          <t>Write lock: "factory_eeprom_lock_wr"_x000D_
Read lock: "customer_eeprom_lock_rd"</t>
        </r>
      </text>
    </comment>
    <comment ref="E29" authorId="0" shapeId="0" xr:uid="{84077E01-ABF8-4D14-9F8E-501FC17D36A5}">
      <text>
        <r>
          <rPr>
            <sz val="9"/>
            <color indexed="81"/>
            <rFont val="Tahoma"/>
            <family val="2"/>
          </rPr>
          <t xml:space="preserve">Field Name: ecc_b_x000D_
Access Mode:RW_x000D_
Description:Error correction code. </t>
        </r>
      </text>
    </comment>
    <comment ref="S29" authorId="0" shapeId="0" xr:uid="{1D7454EF-48B0-401B-96EA-7BEF694D721D}">
      <text>
        <r>
          <rPr>
            <sz val="9"/>
            <color indexed="81"/>
            <rFont val="Tahoma"/>
            <family val="2"/>
          </rPr>
          <t xml:space="preserve">Field Name: a1_tc_x000D_
Access Mode:RW_x000D_
Description:A1 gain TC (two's complement from -256 to +255). If no compensation is required, set it to 0. </t>
        </r>
      </text>
    </comment>
    <comment ref="AB29" authorId="0" shapeId="0" xr:uid="{19E3D36B-5F96-416E-8CD4-7154599F6577}">
      <text>
        <r>
          <rPr>
            <sz val="9"/>
            <color indexed="81"/>
            <rFont val="Tahoma"/>
            <family val="2"/>
          </rPr>
          <t xml:space="preserve">Field Name: a1_room_x000D_
Access Mode:RW_x000D_
Description:A1 gain at 25?C (unsigned from 0 to +511). If no compensation is required, set it to +256. </t>
        </r>
      </text>
    </comment>
    <comment ref="C31" authorId="0" shapeId="0" xr:uid="{CBEE239D-E7AA-4249-9A3A-105E1B7E20C8}">
      <text>
        <r>
          <rPr>
            <sz val="9"/>
            <color indexed="81"/>
            <rFont val="Tahoma"/>
            <family val="2"/>
          </rPr>
          <t>Write lock: "factory_eeprom_lock_wr"_x000D_
Read lock: "customer_eeprom_lock_rd"</t>
        </r>
      </text>
    </comment>
    <comment ref="E31" authorId="0" shapeId="0" xr:uid="{3E5B8D18-FA8E-4B8B-B1FB-CE239E104195}">
      <text>
        <r>
          <rPr>
            <sz val="9"/>
            <color indexed="81"/>
            <rFont val="Tahoma"/>
            <family val="2"/>
          </rPr>
          <t xml:space="preserve">Field Name: ecc_c_x000D_
Access Mode:RW_x000D_
Description:Error correction code. </t>
        </r>
      </text>
    </comment>
    <comment ref="L31" authorId="0" shapeId="0" xr:uid="{A5BE00CB-59A3-46DC-B980-1B1CD2A98AD0}">
      <text>
        <r>
          <rPr>
            <sz val="9"/>
            <color indexed="81"/>
            <rFont val="Tahoma"/>
            <family val="2"/>
          </rPr>
          <t xml:space="preserve">Field Name: vtmr_room_x000D_
Access Mode:RW_x000D_
Description:VTMR DAC value at 25?C (unsigned, from 0 to +127)._x000D_
'0000000': min val 0.5V._x000D_
'1111111': max val 2.0V._x000D_
LSB step = 11.71875 mV. </t>
        </r>
      </text>
    </comment>
    <comment ref="S31" authorId="0" shapeId="0" xr:uid="{E5C200EC-A8C1-4D04-AE6C-F7EE3065927C}">
      <text>
        <r>
          <rPr>
            <sz val="9"/>
            <color indexed="81"/>
            <rFont val="Tahoma"/>
            <family val="2"/>
          </rPr>
          <t xml:space="preserve">Field Name: a2_tc_x000D_
Access Mode:RW_x000D_
Description:A2 gain TC (two's complement from -256 to +255). If no compensation is required, set it to 0. </t>
        </r>
      </text>
    </comment>
    <comment ref="AB31" authorId="0" shapeId="0" xr:uid="{62B46F7D-6782-43B5-AAF7-16AEBB9F68E8}">
      <text>
        <r>
          <rPr>
            <sz val="9"/>
            <color indexed="81"/>
            <rFont val="Tahoma"/>
            <family val="2"/>
          </rPr>
          <t xml:space="preserve">Field Name: a2_room_x000D_
Access Mode:RW_x000D_
Description:A2 gain at 25?C (unsigned from 0 to +511). If no compensation is required, set it to +256. </t>
        </r>
      </text>
    </comment>
    <comment ref="C33" authorId="0" shapeId="0" xr:uid="{51D3B7D4-D854-4C58-9AA3-8F766419EEB2}">
      <text>
        <r>
          <rPr>
            <sz val="9"/>
            <color indexed="81"/>
            <rFont val="Tahoma"/>
            <family val="2"/>
          </rPr>
          <t>Write lock: "factory_eeprom_lock_wr"_x000D_
Read lock: "customer_eeprom_lock_rd"</t>
        </r>
      </text>
    </comment>
    <comment ref="E33" authorId="0" shapeId="0" xr:uid="{3D780D59-5DF4-4B9A-9B48-2DF9379ADA52}">
      <text>
        <r>
          <rPr>
            <sz val="9"/>
            <color indexed="81"/>
            <rFont val="Tahoma"/>
            <family val="2"/>
          </rPr>
          <t xml:space="preserve">Field Name: ecc_d_x000D_
Access Mode:RW_x000D_
Description:Error correction code. </t>
        </r>
      </text>
    </comment>
    <comment ref="K33" authorId="0" shapeId="0" xr:uid="{7BEF8330-17B6-4BD1-839E-3E9A758E9BC6}">
      <text>
        <r>
          <rPr>
            <sz val="9"/>
            <color indexed="81"/>
            <rFont val="Tahoma"/>
            <family val="2"/>
          </rPr>
          <t xml:space="preserve">Field Name: vtmr_tc_h_x000D_
Access Mode:RW_x000D_
Description:VTMR TC slope above slope change point (unsigned from 0 to +1023). </t>
        </r>
      </text>
    </comment>
    <comment ref="U33" authorId="0" shapeId="0" xr:uid="{BAF2190D-D193-43B6-A1DD-8BDF9676CBF2}">
      <text>
        <r>
          <rPr>
            <sz val="9"/>
            <color indexed="81"/>
            <rFont val="Tahoma"/>
            <family val="2"/>
          </rPr>
          <t xml:space="preserve">Field Name: vtmr_tc_l_x000D_
Access Mode:RW_x000D_
Description:VTMR TC slope above slope change point (unsigned from 0 to +1023). </t>
        </r>
      </text>
    </comment>
    <comment ref="AE33" authorId="0" shapeId="0" xr:uid="{C80A9216-578A-449F-8C57-56AD3593F050}">
      <text>
        <r>
          <rPr>
            <sz val="9"/>
            <color indexed="81"/>
            <rFont val="Tahoma"/>
            <family val="2"/>
          </rPr>
          <t xml:space="preserve">Field Name: vtmr_tinf_x000D_
Access Mode:RW_x000D_
Description:VTMR slope change temperature point. Actual inflection point is 64 x vtmr_inf. </t>
        </r>
      </text>
    </comment>
    <comment ref="C35" authorId="0" shapeId="0" xr:uid="{A80BABE7-A090-4D51-8D13-743BE93B3E3C}">
      <text>
        <r>
          <rPr>
            <sz val="9"/>
            <color indexed="81"/>
            <rFont val="Tahoma"/>
            <family val="2"/>
          </rPr>
          <t>Write lock: "factory_eeprom_lock_wr"_x000D_
Read lock: "customer_eeprom_lock_rd"</t>
        </r>
      </text>
    </comment>
    <comment ref="E35" authorId="0" shapeId="0" xr:uid="{9B550774-4B41-4E91-91E5-765ADABC395D}">
      <text>
        <r>
          <rPr>
            <sz val="9"/>
            <color indexed="81"/>
            <rFont val="Tahoma"/>
            <family val="2"/>
          </rPr>
          <t xml:space="preserve">Field Name: ecc_e_x000D_
Access Mode:RW_x000D_
Description:Error correction code. </t>
        </r>
      </text>
    </comment>
    <comment ref="K35" authorId="0" shapeId="0" xr:uid="{27F24DA7-F41C-4389-BC9D-363C94E58B0A}">
      <text>
        <r>
          <rPr>
            <sz val="9"/>
            <color indexed="81"/>
            <rFont val="Tahoma"/>
            <family val="2"/>
          </rPr>
          <t xml:space="preserve">Field Name: kd_int_x000D_
Access Mode:RW_x000D_
Description:KD coefficient integer part. </t>
        </r>
      </text>
    </comment>
    <comment ref="L35" authorId="0" shapeId="0" xr:uid="{4A82D30B-2CB9-4329-9C6B-8056795E31D6}">
      <text>
        <r>
          <rPr>
            <sz val="9"/>
            <color indexed="81"/>
            <rFont val="Tahoma"/>
            <family val="2"/>
          </rPr>
          <t xml:space="preserve">Field Name: kd_frac_x000D_
Access Mode:RW_x000D_
Description:KD coefficient fractional part (two's complement from -1024 to +1023). </t>
        </r>
      </text>
    </comment>
    <comment ref="W35" authorId="0" shapeId="0" xr:uid="{58D33AE7-EBA2-4B78-AAE3-CDDB28F3191B}">
      <text>
        <r>
          <rPr>
            <sz val="9"/>
            <color indexed="81"/>
            <rFont val="Tahoma"/>
            <family val="2"/>
          </rPr>
          <t xml:space="preserve">Field Name: delta_d_x000D_
Access Mode:RW_x000D_
Description:Delta_d coefficient (two's complement from -8192 to +8191). </t>
        </r>
      </text>
    </comment>
    <comment ref="C37" authorId="0" shapeId="0" xr:uid="{793D29F6-0DF5-4136-87BA-D636241E13EF}">
      <text>
        <r>
          <rPr>
            <sz val="9"/>
            <color indexed="81"/>
            <rFont val="Tahoma"/>
            <family val="2"/>
          </rPr>
          <t>Write lock: "factory_eeprom_lock_wr"_x000D_
Read lock: "customer_eeprom_lock_rd"</t>
        </r>
      </text>
    </comment>
    <comment ref="E37" authorId="0" shapeId="0" xr:uid="{5A1E81C4-EAD7-4E5A-8C09-2388D62AC06D}">
      <text>
        <r>
          <rPr>
            <sz val="9"/>
            <color indexed="81"/>
            <rFont val="Tahoma"/>
            <family val="2"/>
          </rPr>
          <t xml:space="preserve">Field Name: ecc_f_x000D_
Access Mode:RW_x000D_
Description:Error correction code. </t>
        </r>
      </text>
    </comment>
    <comment ref="M37" authorId="0" shapeId="0" xr:uid="{3B93B3AA-17E4-40E2-878A-1075A626BBD7}">
      <text>
        <r>
          <rPr>
            <sz val="9"/>
            <color indexed="81"/>
            <rFont val="Tahoma"/>
            <family val="2"/>
          </rPr>
          <t xml:space="preserve">Field Name: v1_m_v2_thr_h_x000D_
Access Mode:RW_x000D_
Description:v1 - v2 threshold high (steps of 64 LSBs). </t>
        </r>
      </text>
    </comment>
    <comment ref="S37" authorId="0" shapeId="0" xr:uid="{DE735E62-2584-4AFC-8D75-F6C6452BF2C3}">
      <text>
        <r>
          <rPr>
            <sz val="9"/>
            <color indexed="81"/>
            <rFont val="Tahoma"/>
            <family val="2"/>
          </rPr>
          <t xml:space="preserve">Field Name: v1_m_v2_thr_l_x000D_
Access Mode:RW_x000D_
Description:v1 - v2 threshold low (steps of 1024 LSBs). </t>
        </r>
      </text>
    </comment>
    <comment ref="Y37" authorId="0" shapeId="0" xr:uid="{72309EF7-F14D-4844-A1F9-767F51A0C449}">
      <text>
        <r>
          <rPr>
            <sz val="9"/>
            <color indexed="81"/>
            <rFont val="Tahoma"/>
            <family val="2"/>
          </rPr>
          <t xml:space="preserve">Field Name: v1_div_v2_thr_h_x000D_
Access Mode:RW_x000D_
Description:v1_sec / v2_sec threshold high (steps of 512 LSBs). </t>
        </r>
      </text>
    </comment>
    <comment ref="AE37" authorId="0" shapeId="0" xr:uid="{3ED925A5-1370-43F9-9071-76A4EDDD3715}">
      <text>
        <r>
          <rPr>
            <sz val="9"/>
            <color indexed="81"/>
            <rFont val="Tahoma"/>
            <family val="2"/>
          </rPr>
          <t xml:space="preserve">Field Name: v1_div_v2_thr_l_x000D_
Access Mode:RW_x000D_
Description:v1_sec / v2_sec threshold low (steps of 1024 LSBs). </t>
        </r>
      </text>
    </comment>
    <comment ref="C39" authorId="0" shapeId="0" xr:uid="{6AAE80A5-427A-4E12-B320-9458BB4ED4C5}">
      <text>
        <r>
          <rPr>
            <sz val="9"/>
            <color indexed="81"/>
            <rFont val="Tahoma"/>
            <family val="2"/>
          </rPr>
          <t>Write lock: "customer_eeprom_lock_wr"_x000D_
Read lock: "customer_eeprom_lock_rd"</t>
        </r>
      </text>
    </comment>
    <comment ref="E39" authorId="0" shapeId="0" xr:uid="{7643C40A-F835-4167-9F26-BC71F48F3E34}">
      <text>
        <r>
          <rPr>
            <sz val="9"/>
            <color indexed="81"/>
            <rFont val="Tahoma"/>
            <family val="2"/>
          </rPr>
          <t xml:space="preserve">Field Name: ecc_10_x000D_
Access Mode:RW_x000D_
Description:Error correction code. </t>
        </r>
      </text>
    </comment>
    <comment ref="M39" authorId="0" shapeId="0" xr:uid="{181F9AFA-4577-46EA-A582-8ED8CA33BB6B}">
      <text>
        <r>
          <rPr>
            <sz val="9"/>
            <color indexed="81"/>
            <rFont val="Tahoma"/>
            <family val="2"/>
          </rPr>
          <t xml:space="preserve">Field Name: sent_scn_config_x000D_
Access Mode:RW_x000D_
Description:SENT Status and configuration nibble configuration._x000D_
0:  SCN[3:2] = SENT slow serial message._x000D_
1:  SCN[3:2] = All zeros._x000D_
2:  SCN[3:2] = Device ID, SCN[3] = ID[1] and SCN[2] = ID[0]._x000D_
3:  SCN[3:2] = SENT slow serial message (same as option 0). </t>
        </r>
      </text>
    </comment>
    <comment ref="O39" authorId="0" shapeId="0" xr:uid="{BCC9ACA2-0DE5-406E-B85C-63C678B23B6A}">
      <text>
        <r>
          <rPr>
            <sz val="9"/>
            <color indexed="81"/>
            <rFont val="Tahoma"/>
            <family val="2"/>
          </rPr>
          <t xml:space="preserve">Field Name: sent_data_config_x000D_
Access Mode:RW_x000D_
Description:Number and format of data nibbles in SENT frame.  </t>
        </r>
      </text>
    </comment>
    <comment ref="R39" authorId="0" shapeId="0" xr:uid="{8313907A-8156-4748-A13D-DE4EAAB3BEEA}">
      <text>
        <r>
          <rPr>
            <sz val="9"/>
            <color indexed="81"/>
            <rFont val="Tahoma"/>
            <family val="2"/>
          </rPr>
          <t xml:space="preserve">Field Name: sent_splmin_adjust_x000D_
Access Mode:RW_x000D_
Description:Function Pulse Adjust. Only for SSENT-Long. Increases the lower threshold of F_OUTPUT pulse:_x000D_
00: No change to F_OUTPUT pulse width. Minimum width = 7 Ticks._x000D_
01: Minimum width of F_OUTPUT increased by 1 Tick. Min = 8 Ticks._x000D_
10: Minimum width of F_OUTPUT increased by 2 Ticks. Min = 9 Ticks._x000D_
11: Minimum width of F_OUTPUT increased by 3 Ticks. Min = 10 Ticks. </t>
        </r>
      </text>
    </comment>
    <comment ref="T39" authorId="0" shapeId="0" xr:uid="{59691637-13C3-43E7-A8A3-FF4E1D11FA87}">
      <text>
        <r>
          <rPr>
            <sz val="9"/>
            <color indexed="81"/>
            <rFont val="Tahoma"/>
            <family val="2"/>
          </rPr>
          <t xml:space="preserve">Field Name: sent_slot_marking_x000D_
Access Mode:RW_x000D_
Description:When '1', In SSENT, slot marking times applied prior to start of frame. </t>
        </r>
      </text>
    </comment>
    <comment ref="U39" authorId="0" shapeId="0" xr:uid="{0F9B3B27-67FB-4CF0-8E12-CE033D4298BF}">
      <text>
        <r>
          <rPr>
            <sz val="9"/>
            <color indexed="81"/>
            <rFont val="Tahoma"/>
            <family val="2"/>
          </rPr>
          <t xml:space="preserve">Field Name: sent_slot_sync_x000D_
Access Mode:RW_x000D_
Description:When '1', In SSENT+slot_marking, uses slot_marking output pulse from other devices to sync internal slot counter. </t>
        </r>
      </text>
    </comment>
    <comment ref="V39" authorId="0" shapeId="0" xr:uid="{B1EE657B-65BA-4332-8705-384A1FA09969}">
      <text>
        <r>
          <rPr>
            <sz val="9"/>
            <color indexed="81"/>
            <rFont val="Tahoma"/>
            <family val="2"/>
          </rPr>
          <t xml:space="preserve">Field Name: sent_por_offline_x000D_
Access Mode:RW_x000D_
Description:When '1', sensor will be in OFFLINE mode following a POR. Only for SSENT modes. </t>
        </r>
      </text>
    </comment>
    <comment ref="W39" authorId="0" shapeId="0" xr:uid="{64E1E295-36EF-4219-904A-1B862AE63F51}">
      <text>
        <r>
          <rPr>
            <sz val="9"/>
            <color indexed="81"/>
            <rFont val="Tahoma"/>
            <family val="2"/>
          </rPr>
          <t xml:space="preserve">Field Name: sent_idle_sync_x000D_
Access Mode:RW_x000D_
Description:When '1', In SSENT, bus idle time &gt; 510 ticks will act as F_SYNC. </t>
        </r>
      </text>
    </comment>
    <comment ref="X39" authorId="0" shapeId="0" xr:uid="{75FB73E2-8146-44F4-87CE-8F24696D7695}">
      <text>
        <r>
          <rPr>
            <sz val="9"/>
            <color indexed="81"/>
            <rFont val="Tahoma"/>
            <family val="2"/>
          </rPr>
          <t xml:space="preserve">Field Name: sent_fsample_adr_x000D_
Access Mode:RW_x000D_
Description:When '1', F_SAMPLE is addressing + sample_and_hold request. </t>
        </r>
      </text>
    </comment>
    <comment ref="Y39" authorId="0" shapeId="0" xr:uid="{F2763A63-F02B-42B5-87CC-6110C3A29AA8}">
      <text>
        <r>
          <rPr>
            <sz val="9"/>
            <color indexed="81"/>
            <rFont val="Tahoma"/>
            <family val="2"/>
          </rPr>
          <t xml:space="preserve">Field Name: sent_zero_sample_x000D_
Access Mode:RW_x000D_
Description:When '1', In SSENT, sample_and_hold requested when slot_cntr=0. </t>
        </r>
      </text>
    </comment>
    <comment ref="Z39" authorId="0" shapeId="0" xr:uid="{AD4ABB2F-362F-4E06-809E-823BA51C0033}">
      <text>
        <r>
          <rPr>
            <sz val="9"/>
            <color indexed="81"/>
            <rFont val="Tahoma"/>
            <family val="2"/>
          </rPr>
          <t xml:space="preserve">Field Name: sent_no_fsample_x000D_
Access Mode:RW_x000D_
Description:When '1', F_SAMPLE will not create a sample_and_hold request when a F_SAMPLE pulse is broadcasted. </t>
        </r>
      </text>
    </comment>
    <comment ref="AA39" authorId="0" shapeId="0" xr:uid="{0AF1DF15-FF83-4ED3-885A-33FED5114261}">
      <text>
        <r>
          <rPr>
            <sz val="9"/>
            <color indexed="81"/>
            <rFont val="Tahoma"/>
            <family val="2"/>
          </rPr>
          <t xml:space="preserve">Field Name: sent_device_id_x000D_
Access Mode:RW_x000D_
Description:Device ID for SSENT, ASENT and Manchester serial communication. </t>
        </r>
      </text>
    </comment>
    <comment ref="AC39" authorId="0" shapeId="0" xr:uid="{CEFD29CD-29E2-4C5B-9EB7-FB6D3DFD12D1}">
      <text>
        <r>
          <rPr>
            <sz val="9"/>
            <color indexed="81"/>
            <rFont val="Tahoma"/>
            <family val="2"/>
          </rPr>
          <t xml:space="preserve">Field Name: sent_max_devices_x000D_
Access Mode:RW_x000D_
Description:Highest device number on the bus for SSENT. </t>
        </r>
      </text>
    </comment>
    <comment ref="AE39" authorId="0" shapeId="0" xr:uid="{F7C889D9-3A2F-443D-B3C0-5AC1E10DE93B}">
      <text>
        <r>
          <rPr>
            <sz val="9"/>
            <color indexed="81"/>
            <rFont val="Tahoma"/>
            <family val="2"/>
          </rPr>
          <t xml:space="preserve">Field Name: sent_aux_adr_x000D_
Access Mode:RW_x000D_
Description:F_AUX addressing mode._x000D_
0: F_AUX is broadcast._x000D_
1: F_AUX is addressing. </t>
        </r>
      </text>
    </comment>
    <comment ref="AF39" authorId="0" shapeId="0" xr:uid="{5BA03C70-23D9-4E9D-89C6-28FC419491E5}">
      <text>
        <r>
          <rPr>
            <sz val="9"/>
            <color indexed="81"/>
            <rFont val="Tahoma"/>
            <family val="2"/>
          </rPr>
          <t xml:space="preserve">Field Name: sent_crc_scn_x000D_
Access Mode:RW_x000D_
Description:When '1', SCN nibble is used to calculate CRC along with data nibbles. </t>
        </r>
      </text>
    </comment>
    <comment ref="AG39" authorId="0" shapeId="0" xr:uid="{9C1F4F25-603E-4F72-8B36-828460075ADD}">
      <text>
        <r>
          <rPr>
            <sz val="9"/>
            <color indexed="81"/>
            <rFont val="Tahoma"/>
            <family val="2"/>
          </rPr>
          <t xml:space="preserve">Field Name: sent_no_smsg_x000D_
Access Mode:RW_x000D_
Description:0: Only bits [1:0] of the Status Nibble are writable by scn_data[1:0] input, bits [3:2] of the Status Nibble are used for short serial message._x000D_
1: Suppress short serial message, the scn_data[3:0] input writes the complete Status Nibble. </t>
        </r>
      </text>
    </comment>
    <comment ref="AH39" authorId="0" shapeId="0" xr:uid="{8C60AA98-2802-40CC-8D3C-6E527638CF09}">
      <text>
        <r>
          <rPr>
            <sz val="9"/>
            <color indexed="81"/>
            <rFont val="Tahoma"/>
            <family val="2"/>
          </rPr>
          <t xml:space="preserve">Field Name: sent_output_mode_x000D_
Access Mode:RW_x000D_
Description:Output mode:_x000D_
0: SENT_x000D_
1: SENT - Paused_x000D_
2: ISENT_x000D_
3: TSENT - SCN_x000D_
4: TSENT - Falling_x000D_
5: SSENT - Short_x000D_
6: SSENT - Long_x000D_
7: ASENT </t>
        </r>
      </text>
    </comment>
    <comment ref="C41" authorId="0" shapeId="0" xr:uid="{C9298216-6ADA-4FCE-8683-6F48C179F363}">
      <text>
        <r>
          <rPr>
            <sz val="9"/>
            <color indexed="81"/>
            <rFont val="Tahoma"/>
            <family val="2"/>
          </rPr>
          <t>Write lock: "customer_eeprom_lock_wr"_x000D_
Read lock: "customer_eeprom_lock_rd"</t>
        </r>
      </text>
    </comment>
    <comment ref="E41" authorId="0" shapeId="0" xr:uid="{02E6D41B-B15B-4107-8DEC-9F54635D2666}">
      <text>
        <r>
          <rPr>
            <sz val="9"/>
            <color indexed="81"/>
            <rFont val="Tahoma"/>
            <family val="2"/>
          </rPr>
          <t xml:space="preserve">Field Name: ecc_11_x000D_
Access Mode:RW_x000D_
Description:Error correction code. </t>
        </r>
      </text>
    </comment>
    <comment ref="AB41" authorId="0" shapeId="0" xr:uid="{A4796F7C-01BD-4B75-923C-0A2E0CE814B4}">
      <text>
        <r>
          <rPr>
            <sz val="9"/>
            <color indexed="81"/>
            <rFont val="Tahoma"/>
            <family val="2"/>
          </rPr>
          <t xml:space="preserve">Field Name: sent_trg_config_x000D_
Access Mode:RW_x000D_
Description:SENT minimum low time for recognize a valid TSENT trigger pulse or a valid ASENT incaddr pulse._x000D_
0: 2.5us_x000D_
1: 5us_x000D_
2: 10us_x000D_
3: 0.5us </t>
        </r>
      </text>
    </comment>
    <comment ref="AD41" authorId="0" shapeId="0" xr:uid="{22DD2748-6EED-448B-92B1-52FBA38131E5}">
      <text>
        <r>
          <rPr>
            <sz val="9"/>
            <color indexed="81"/>
            <rFont val="Tahoma"/>
            <family val="2"/>
          </rPr>
          <t xml:space="preserve">Field Name: sent_tick_time_x000D_
Access Mode:RW_x000D_
Description:SENT tick time selection (from 1 to 127, 0 yields an invalid frame)._x000D_
From 122ns (sent_tick_time=1)._x000D_
To 15.5us (sent_tick_time=127)._x000D_
Step: 1LSB = 122ns. </t>
        </r>
      </text>
    </comment>
    <comment ref="C43" authorId="0" shapeId="0" xr:uid="{A43C29F7-3222-4B12-B132-9D9AF3049EB6}">
      <text>
        <r>
          <rPr>
            <sz val="9"/>
            <color indexed="81"/>
            <rFont val="Tahoma"/>
            <family val="2"/>
          </rPr>
          <t>Write lock: "customer_eeprom_lock_wr"_x000D_
Read lock: "customer_eeprom_lock_rd"</t>
        </r>
      </text>
    </comment>
    <comment ref="E43" authorId="0" shapeId="0" xr:uid="{6030F3EA-26F3-40D6-B840-5BACDB26DD52}">
      <text>
        <r>
          <rPr>
            <sz val="9"/>
            <color indexed="81"/>
            <rFont val="Tahoma"/>
            <family val="2"/>
          </rPr>
          <t xml:space="preserve">Field Name: ecc_12_x000D_
Access Mode:RW_x000D_
Description:Error correction code. </t>
        </r>
      </text>
    </comment>
    <comment ref="AB43" authorId="0" shapeId="0" xr:uid="{31A7306F-74AB-4595-9883-2E03EBC3DE5B}">
      <text>
        <r>
          <rPr>
            <sz val="9"/>
            <color indexed="81"/>
            <rFont val="Tahoma"/>
            <family val="2"/>
          </rPr>
          <t xml:space="preserve">Field Name: outdrv_sel_x000D_
Access Mode:RW_x000D_
Description:Adjust output driving for fall time control._x000D_
'000': Output fall time is 0.05 usec._x000D_
'001': Output fall time is 0.1 usec._x000D_
'010': Output fall time is 0.2 usec._x000D_
'011': Output fall time is 0.3 usec._x000D_
'100': Output fall time is 0.8 usec._x000D_
'101': Output fall time is 1.5 usec._x000D_
'110': Output fall time is 3.2 usec._x000D_
'111': Output fall time is 5.0 usec. </t>
        </r>
      </text>
    </comment>
    <comment ref="AE43" authorId="0" shapeId="0" xr:uid="{331AC3F6-8ABD-45FE-8023-0B178E7981B8}">
      <text>
        <r>
          <rPr>
            <sz val="9"/>
            <color indexed="81"/>
            <rFont val="Tahoma"/>
            <family val="2"/>
          </rPr>
          <t xml:space="preserve">Field Name: pwm1_sent0_x000D_
Access Mode:RW_x000D_
Description:When '1', PWM is enabled, when '0' SENT is enabled. </t>
        </r>
      </text>
    </comment>
    <comment ref="AF43" authorId="0" shapeId="0" xr:uid="{FDBFEAD4-D0B1-46D1-87CA-378963A64D5C}">
      <text>
        <r>
          <rPr>
            <sz val="9"/>
            <color indexed="81"/>
            <rFont val="Tahoma"/>
            <family val="2"/>
          </rPr>
          <t xml:space="preserve">Field Name: pwm_cmd_trigger_config_x000D_
Access Mode:RW_x000D_
Description:When '1', command triggers every time the condition is met._x000D_
When '0', command triggers after the host releases the pwm_out. </t>
        </r>
      </text>
    </comment>
    <comment ref="AG43" authorId="0" shapeId="0" xr:uid="{5B7B4FFC-467E-4C58-AF95-C22953EF7773}">
      <text>
        <r>
          <rPr>
            <sz val="9"/>
            <color indexed="81"/>
            <rFont val="Tahoma"/>
            <family val="2"/>
          </rPr>
          <t xml:space="preserve">Field Name: pwm_period_sel_x000D_
Access Mode:RW_x000D_
Description:PWM active period selection._x000D_
'0000': 128000 system clocks (7812.5us - 0.128KHz - Resolution 15 bits)._x000D_
'0001': 96000 system clocks (5859.375us - 0.170KHz - Resolution 15 bits)._x000D_
'0010': 64000 system clocks (3906.25us - 0.256KHz - Resolution 14 bits)._x000D_
'0011': 48000 system clocks (2929.6875us - 0.341KHz - Resolution 14 bits)._x000D_
'0100': 32000 system clocks (1953.125us - 0.512KHz - Resolution 13 bits)._x000D_
'0101': 24000 system clocks (1464.844us - 0.683KHz - Resolution 13 bits)._x000D_
'0110': 20000 system clocks (1220.703us - 0.819KHz - Resolution 13 bits)._x000D_
'0111': 16000 system clocks (976.5625us - 1.024KHz - Resolution 12 bits)._x000D_
'1000': 12000 system clocks (732.4219us - 1.365KHz - Resolution 12 bits)._x000D_
'1001': 10000 system clocks (610.3516us - 1.638KHz - Resolution 12 bits)._x000D_
'1010': 8000 system clocks (488.2813us - 2.048KHz - Resolution 11 bits)._x000D_
'1011': 6000 system clocks (366.2109us - 2.731KHz - Resolution 11 bits)._x000D_
'1100': 4000 system clocks (244.1406us - 4.096KHz - Resolution 10 bits)._x000D_
'1101': 3000 system clocks (183.1055us - 5.461KHz - Resolution 10 bits)._x000D_
'1110': 2000 system clocks (122.0703us - 8.192KHz - Resolution 9 bits)._x000D_
'1111': 1000 system clocks (61.0352us - 16384KHz - Resolution 8 bits). </t>
        </r>
      </text>
    </comment>
    <comment ref="C45" authorId="0" shapeId="0" xr:uid="{06EF712A-866C-4664-8960-55204AEAB979}">
      <text>
        <r>
          <rPr>
            <sz val="9"/>
            <color indexed="81"/>
            <rFont val="Tahoma"/>
            <family val="2"/>
          </rPr>
          <t>Write lock: "customer_eeprom_lock_wr"_x000D_
Read lock: "customer_eeprom_lock_rd"</t>
        </r>
      </text>
    </comment>
    <comment ref="E45" authorId="0" shapeId="0" xr:uid="{9D03B8A5-864C-4DEB-9A51-16B46174D61F}">
      <text>
        <r>
          <rPr>
            <sz val="9"/>
            <color indexed="81"/>
            <rFont val="Tahoma"/>
            <family val="2"/>
          </rPr>
          <t xml:space="preserve">Field Name: ecc_13_x000D_
Access Mode:RW_x000D_
Description:Error correction code. </t>
        </r>
      </text>
    </comment>
    <comment ref="K45" authorId="0" shapeId="0" xr:uid="{92F0C227-4190-4865-B803-B9D0257D6357}">
      <text>
        <r>
          <rPr>
            <sz val="9"/>
            <color indexed="81"/>
            <rFont val="Tahoma"/>
            <family val="2"/>
          </rPr>
          <t xml:space="preserve">Field Name: lin01_x000D_
Access Mode:RW_x000D_
Description:Linearization table entry 1. </t>
        </r>
      </text>
    </comment>
    <comment ref="X45" authorId="0" shapeId="0" xr:uid="{4B0EFE15-49B5-41B0-8025-FD129AAD796E}">
      <text>
        <r>
          <rPr>
            <sz val="9"/>
            <color indexed="81"/>
            <rFont val="Tahoma"/>
            <family val="2"/>
          </rPr>
          <t xml:space="preserve">Field Name: lin00_x000D_
Access Mode:RW_x000D_
Description:Linearization table entry 0. </t>
        </r>
      </text>
    </comment>
    <comment ref="C47" authorId="0" shapeId="0" xr:uid="{27313A76-40C0-45E8-8EC2-280E901EC18F}">
      <text>
        <r>
          <rPr>
            <sz val="9"/>
            <color indexed="81"/>
            <rFont val="Tahoma"/>
            <family val="2"/>
          </rPr>
          <t>Write lock: "customer_eeprom_lock_wr"_x000D_
Read lock: "customer_eeprom_lock_rd"</t>
        </r>
      </text>
    </comment>
    <comment ref="E47" authorId="0" shapeId="0" xr:uid="{F2D7D954-A7FB-4D03-924B-EF26E60FADE4}">
      <text>
        <r>
          <rPr>
            <sz val="9"/>
            <color indexed="81"/>
            <rFont val="Tahoma"/>
            <family val="2"/>
          </rPr>
          <t xml:space="preserve">Field Name: ecc_14_x000D_
Access Mode:RW_x000D_
Description:Error correction code. </t>
        </r>
      </text>
    </comment>
    <comment ref="K47" authorId="0" shapeId="0" xr:uid="{039B402C-ECA7-4392-A83A-F5866838E9AC}">
      <text>
        <r>
          <rPr>
            <sz val="9"/>
            <color indexed="81"/>
            <rFont val="Tahoma"/>
            <family val="2"/>
          </rPr>
          <t xml:space="preserve">Field Name: lin03_x000D_
Access Mode:RW_x000D_
Description:Linearization table entry 3. </t>
        </r>
      </text>
    </comment>
    <comment ref="X47" authorId="0" shapeId="0" xr:uid="{705CE23F-4938-4936-A046-B16456865824}">
      <text>
        <r>
          <rPr>
            <sz val="9"/>
            <color indexed="81"/>
            <rFont val="Tahoma"/>
            <family val="2"/>
          </rPr>
          <t xml:space="preserve">Field Name: lin02_x000D_
Access Mode:RW_x000D_
Description:Linearization table entry 2. </t>
        </r>
      </text>
    </comment>
    <comment ref="C49" authorId="0" shapeId="0" xr:uid="{B3D01631-6C24-4C26-8C3E-6C2FFE8DD823}">
      <text>
        <r>
          <rPr>
            <sz val="9"/>
            <color indexed="81"/>
            <rFont val="Tahoma"/>
            <family val="2"/>
          </rPr>
          <t>Write lock: "customer_eeprom_lock_wr"_x000D_
Read lock: "customer_eeprom_lock_rd"</t>
        </r>
      </text>
    </comment>
    <comment ref="E49" authorId="0" shapeId="0" xr:uid="{00214598-6D5F-4354-8DBD-D46660840B89}">
      <text>
        <r>
          <rPr>
            <sz val="9"/>
            <color indexed="81"/>
            <rFont val="Tahoma"/>
            <family val="2"/>
          </rPr>
          <t xml:space="preserve">Field Name: ecc_15_x000D_
Access Mode:RW_x000D_
Description:Error correction code. </t>
        </r>
      </text>
    </comment>
    <comment ref="K49" authorId="0" shapeId="0" xr:uid="{CBE983A1-6E5B-4170-AF9A-78A5ACF944FE}">
      <text>
        <r>
          <rPr>
            <sz val="9"/>
            <color indexed="81"/>
            <rFont val="Tahoma"/>
            <family val="2"/>
          </rPr>
          <t xml:space="preserve">Field Name: lin05_x000D_
Access Mode:RW_x000D_
Description:Linearization table entry 5. </t>
        </r>
      </text>
    </comment>
    <comment ref="X49" authorId="0" shapeId="0" xr:uid="{3C0B3260-0A60-4A30-B8FC-4F23E3E9D9F2}">
      <text>
        <r>
          <rPr>
            <sz val="9"/>
            <color indexed="81"/>
            <rFont val="Tahoma"/>
            <family val="2"/>
          </rPr>
          <t xml:space="preserve">Field Name: lin04_x000D_
Access Mode:RW_x000D_
Description:Linearization table entry 4. </t>
        </r>
      </text>
    </comment>
    <comment ref="C51" authorId="0" shapeId="0" xr:uid="{C13E9802-5887-4271-B857-41E05524F68F}">
      <text>
        <r>
          <rPr>
            <sz val="9"/>
            <color indexed="81"/>
            <rFont val="Tahoma"/>
            <family val="2"/>
          </rPr>
          <t>Write lock: "customer_eeprom_lock_wr"_x000D_
Read lock: "customer_eeprom_lock_rd"</t>
        </r>
      </text>
    </comment>
    <comment ref="E51" authorId="0" shapeId="0" xr:uid="{C7805C85-6663-442E-BCFC-7A35A363097B}">
      <text>
        <r>
          <rPr>
            <sz val="9"/>
            <color indexed="81"/>
            <rFont val="Tahoma"/>
            <family val="2"/>
          </rPr>
          <t xml:space="preserve">Field Name: ecc_16_x000D_
Access Mode:RW_x000D_
Description:Error correction code. </t>
        </r>
      </text>
    </comment>
    <comment ref="K51" authorId="0" shapeId="0" xr:uid="{1828DAA5-D879-47A3-9C90-9F3E90ACC22C}">
      <text>
        <r>
          <rPr>
            <sz val="9"/>
            <color indexed="81"/>
            <rFont val="Tahoma"/>
            <family val="2"/>
          </rPr>
          <t xml:space="preserve">Field Name: lin07_x000D_
Access Mode:RW_x000D_
Description:Linearization table entry 7. </t>
        </r>
      </text>
    </comment>
    <comment ref="X51" authorId="0" shapeId="0" xr:uid="{F561EAAB-5E2B-4745-8082-1BC2CE4D3848}">
      <text>
        <r>
          <rPr>
            <sz val="9"/>
            <color indexed="81"/>
            <rFont val="Tahoma"/>
            <family val="2"/>
          </rPr>
          <t xml:space="preserve">Field Name: lin06_x000D_
Access Mode:RW_x000D_
Description:Linearization table entry 6. </t>
        </r>
      </text>
    </comment>
    <comment ref="C53" authorId="0" shapeId="0" xr:uid="{5F3B8480-0E46-4B9D-A0F5-E43C0F589224}">
      <text>
        <r>
          <rPr>
            <sz val="9"/>
            <color indexed="81"/>
            <rFont val="Tahoma"/>
            <family val="2"/>
          </rPr>
          <t>Write lock: "customer_eeprom_lock_wr"_x000D_
Read lock: "customer_eeprom_lock_rd"</t>
        </r>
      </text>
    </comment>
    <comment ref="E53" authorId="0" shapeId="0" xr:uid="{DB3B6518-67F7-42B9-9EC2-4710AD79BDAD}">
      <text>
        <r>
          <rPr>
            <sz val="9"/>
            <color indexed="81"/>
            <rFont val="Tahoma"/>
            <family val="2"/>
          </rPr>
          <t xml:space="preserve">Field Name: ecc_17_x000D_
Access Mode:RW_x000D_
Description:Error correction code. </t>
        </r>
      </text>
    </comment>
    <comment ref="K53" authorId="0" shapeId="0" xr:uid="{C962AF6D-4D86-4331-858B-8028FAE6C73D}">
      <text>
        <r>
          <rPr>
            <sz val="9"/>
            <color indexed="81"/>
            <rFont val="Tahoma"/>
            <family val="2"/>
          </rPr>
          <t xml:space="preserve">Field Name: lin09_x000D_
Access Mode:RW_x000D_
Description:Linearization table entry 9. </t>
        </r>
      </text>
    </comment>
    <comment ref="X53" authorId="0" shapeId="0" xr:uid="{B43B7A12-E642-4406-8992-0D392E4C740D}">
      <text>
        <r>
          <rPr>
            <sz val="9"/>
            <color indexed="81"/>
            <rFont val="Tahoma"/>
            <family val="2"/>
          </rPr>
          <t xml:space="preserve">Field Name: lin08_x000D_
Access Mode:RW_x000D_
Description:Linearization table entry 8. </t>
        </r>
      </text>
    </comment>
    <comment ref="C55" authorId="0" shapeId="0" xr:uid="{094DA60A-7C9B-4CC6-BA7D-3D9EE93DEFE0}">
      <text>
        <r>
          <rPr>
            <sz val="9"/>
            <color indexed="81"/>
            <rFont val="Tahoma"/>
            <family val="2"/>
          </rPr>
          <t>Write lock: "customer_eeprom_lock_wr"_x000D_
Read lock: "customer_eeprom_lock_rd"</t>
        </r>
      </text>
    </comment>
    <comment ref="E55" authorId="0" shapeId="0" xr:uid="{5B27AA05-56E9-462B-807B-2B7EF8E7DDE2}">
      <text>
        <r>
          <rPr>
            <sz val="9"/>
            <color indexed="81"/>
            <rFont val="Tahoma"/>
            <family val="2"/>
          </rPr>
          <t xml:space="preserve">Field Name: ecc_18_x000D_
Access Mode:RW_x000D_
Description:Error correction code. </t>
        </r>
      </text>
    </comment>
    <comment ref="K55" authorId="0" shapeId="0" xr:uid="{0CA6551F-F801-4AA6-957A-F15765B8A63F}">
      <text>
        <r>
          <rPr>
            <sz val="9"/>
            <color indexed="81"/>
            <rFont val="Tahoma"/>
            <family val="2"/>
          </rPr>
          <t xml:space="preserve">Field Name: lin11_x000D_
Access Mode:RW_x000D_
Description:Linearization table entry 11. </t>
        </r>
      </text>
    </comment>
    <comment ref="X55" authorId="0" shapeId="0" xr:uid="{09770BF0-36CF-4015-95F8-5692ED8DCAF9}">
      <text>
        <r>
          <rPr>
            <sz val="9"/>
            <color indexed="81"/>
            <rFont val="Tahoma"/>
            <family val="2"/>
          </rPr>
          <t xml:space="preserve">Field Name: lin10_x000D_
Access Mode:RW_x000D_
Description:Linearization table entry 10. </t>
        </r>
      </text>
    </comment>
    <comment ref="C57" authorId="0" shapeId="0" xr:uid="{6F62D60F-7D03-47B1-980A-DED34473E062}">
      <text>
        <r>
          <rPr>
            <sz val="9"/>
            <color indexed="81"/>
            <rFont val="Tahoma"/>
            <family val="2"/>
          </rPr>
          <t>Write lock: "customer_eeprom_lock_wr"_x000D_
Read lock: "customer_eeprom_lock_rd"</t>
        </r>
      </text>
    </comment>
    <comment ref="E57" authorId="0" shapeId="0" xr:uid="{DACD29BE-ECE6-4F72-A9A7-63DF21EA6779}">
      <text>
        <r>
          <rPr>
            <sz val="9"/>
            <color indexed="81"/>
            <rFont val="Tahoma"/>
            <family val="2"/>
          </rPr>
          <t xml:space="preserve">Field Name: ecc_19_x000D_
Access Mode:RW_x000D_
Description:Error correction code. </t>
        </r>
      </text>
    </comment>
    <comment ref="K57" authorId="0" shapeId="0" xr:uid="{777302FD-1DBA-42CC-9BCF-6F89A6FCCD05}">
      <text>
        <r>
          <rPr>
            <sz val="9"/>
            <color indexed="81"/>
            <rFont val="Tahoma"/>
            <family val="2"/>
          </rPr>
          <t xml:space="preserve">Field Name: lin13_x000D_
Access Mode:RW_x000D_
Description:Linearization table entry 13. </t>
        </r>
      </text>
    </comment>
    <comment ref="X57" authorId="0" shapeId="0" xr:uid="{08EF0755-EABD-46A6-8612-64D922A35F2B}">
      <text>
        <r>
          <rPr>
            <sz val="9"/>
            <color indexed="81"/>
            <rFont val="Tahoma"/>
            <family val="2"/>
          </rPr>
          <t xml:space="preserve">Field Name: lin12_x000D_
Access Mode:RW_x000D_
Description:Linearization table entry 12. </t>
        </r>
      </text>
    </comment>
    <comment ref="C59" authorId="0" shapeId="0" xr:uid="{2498F784-451C-4DD7-85D6-4630623A5BE9}">
      <text>
        <r>
          <rPr>
            <sz val="9"/>
            <color indexed="81"/>
            <rFont val="Tahoma"/>
            <family val="2"/>
          </rPr>
          <t>Write lock: "customer_eeprom_lock_wr"_x000D_
Read lock: "customer_eeprom_lock_rd"</t>
        </r>
      </text>
    </comment>
    <comment ref="E59" authorId="0" shapeId="0" xr:uid="{FDC746F8-3648-4BDD-A987-80657D3317B8}">
      <text>
        <r>
          <rPr>
            <sz val="9"/>
            <color indexed="81"/>
            <rFont val="Tahoma"/>
            <family val="2"/>
          </rPr>
          <t xml:space="preserve">Field Name: ecc_1a_x000D_
Access Mode:RW_x000D_
Description:Error correction code. </t>
        </r>
      </text>
    </comment>
    <comment ref="K59" authorId="0" shapeId="0" xr:uid="{EF1CA60D-C454-41EC-AD24-3ED1B7B6D2E7}">
      <text>
        <r>
          <rPr>
            <sz val="9"/>
            <color indexed="81"/>
            <rFont val="Tahoma"/>
            <family val="2"/>
          </rPr>
          <t xml:space="preserve">Field Name: lin15_x000D_
Access Mode:RW_x000D_
Description:Linearization table entry 15. </t>
        </r>
      </text>
    </comment>
    <comment ref="X59" authorId="0" shapeId="0" xr:uid="{780F46E9-D130-447F-9C89-67463C40B9CD}">
      <text>
        <r>
          <rPr>
            <sz val="9"/>
            <color indexed="81"/>
            <rFont val="Tahoma"/>
            <family val="2"/>
          </rPr>
          <t xml:space="preserve">Field Name: lin14_x000D_
Access Mode:RW_x000D_
Description:Linearization table entry 14. </t>
        </r>
      </text>
    </comment>
    <comment ref="C61" authorId="0" shapeId="0" xr:uid="{F025E73D-11E7-4B39-A3D8-450C90182547}">
      <text>
        <r>
          <rPr>
            <sz val="9"/>
            <color indexed="81"/>
            <rFont val="Tahoma"/>
            <family val="2"/>
          </rPr>
          <t>Write lock: "customer_eeprom_lock_wr"_x000D_
Read lock: "customer_eeprom_lock_rd"</t>
        </r>
      </text>
    </comment>
    <comment ref="E61" authorId="0" shapeId="0" xr:uid="{92E30292-51E3-4554-9494-D3F5EB54D740}">
      <text>
        <r>
          <rPr>
            <sz val="9"/>
            <color indexed="81"/>
            <rFont val="Tahoma"/>
            <family val="2"/>
          </rPr>
          <t xml:space="preserve">Field Name: ecc_1b_x000D_
Access Mode:RW_x000D_
Description:Error correction code. </t>
        </r>
      </text>
    </comment>
    <comment ref="N61" authorId="0" shapeId="0" xr:uid="{A8BFD8B2-CB0A-4E63-B99E-69FAE83B988B}">
      <text>
        <r>
          <rPr>
            <sz val="9"/>
            <color indexed="81"/>
            <rFont val="Tahoma"/>
            <family val="2"/>
          </rPr>
          <t xml:space="preserve">Field Name: fhss_e_x000D_
Access Mode:RW_x000D_
Description:When '1', frequency hopping spread spectrum is enabled. </t>
        </r>
      </text>
    </comment>
    <comment ref="O61" authorId="0" shapeId="0" xr:uid="{31814D9C-394F-4CC6-B560-C6E96F360E21}">
      <text>
        <r>
          <rPr>
            <sz val="9"/>
            <color indexed="81"/>
            <rFont val="Tahoma"/>
            <family val="2"/>
          </rPr>
          <t xml:space="preserve">Field Name: coil_freq_x000D_
Access Mode:RW_x000D_
Description:Main coil frequency selection when fhss_e = '0'._x000D_
Secondary coil frequency selection during ABIST or trimming. _x000D_
'000': ???._x000D_
'001': ???._x000D_
'010': ???._x000D_
'011': ???._x000D_
'100': ???._x000D_
'101': ???._x000D_
'110': ???._x000D_
'111': ???. </t>
        </r>
      </text>
    </comment>
    <comment ref="R61" authorId="0" shapeId="0" xr:uid="{2E2C812B-A01A-4BA0-B637-D7D6855C7C2B}">
      <text>
        <r>
          <rPr>
            <sz val="9"/>
            <color indexed="81"/>
            <rFont val="Tahoma"/>
            <family val="2"/>
          </rPr>
          <t xml:space="preserve">Field Name: bw_sel_e_x000D_
Access Mode:RW_x000D_
Description:When '1', bandwidth selection filter is enabled. Otherwise, bypass it. </t>
        </r>
      </text>
    </comment>
    <comment ref="S61" authorId="0" shapeId="0" xr:uid="{1A395DE6-2A49-4DDA-A1AF-D101653C1AD6}">
      <text>
        <r>
          <rPr>
            <sz val="9"/>
            <color indexed="81"/>
            <rFont val="Tahoma"/>
            <family val="2"/>
          </rPr>
          <t xml:space="preserve">Field Name: bw_sel_x000D_
Access Mode:RW_x000D_
Description:Bandwidth selection._x000D_
'000': ._x000D_
'001': ._x000D_
'010': ._x000D_
'011': ._x000D_
'100': ._x000D_
'101': ._x000D_
'110': ._x000D_
'111': . </t>
        </r>
      </text>
    </comment>
    <comment ref="V61" authorId="0" shapeId="0" xr:uid="{30388D0C-B3CF-4170-BA88-B10D1D7FBA7D}">
      <text>
        <r>
          <rPr>
            <sz val="9"/>
            <color indexed="81"/>
            <rFont val="Tahoma"/>
            <family val="2"/>
          </rPr>
          <t xml:space="preserve">Field Name: lin_bin_x000D_
Access Mode:RW_x000D_
Description:Enable bin mode for linearization table. </t>
        </r>
      </text>
    </comment>
    <comment ref="W61" authorId="0" shapeId="0" xr:uid="{B3C9780C-4BDB-4E6D-AFC7-9234D02A76D5}">
      <text>
        <r>
          <rPr>
            <sz val="9"/>
            <color indexed="81"/>
            <rFont val="Tahoma"/>
            <family val="2"/>
          </rPr>
          <t xml:space="preserve">Field Name: lin_e_x000D_
Access Mode:RW_x000D_
Description:When '1', linearization table is enabled. Otherwise, it is bypassed. </t>
        </r>
      </text>
    </comment>
    <comment ref="X61" authorId="0" shapeId="0" xr:uid="{B11AA863-71A9-4699-97CD-A8F92FC78F5E}">
      <text>
        <r>
          <rPr>
            <sz val="9"/>
            <color indexed="81"/>
            <rFont val="Tahoma"/>
            <family val="2"/>
          </rPr>
          <t xml:space="preserve">Field Name: lin16_x000D_
Access Mode:RW_x000D_
Description:Linearization table entry 16. </t>
        </r>
      </text>
    </comment>
    <comment ref="C63" authorId="0" shapeId="0" xr:uid="{3069162D-03D7-4DA5-B06D-E2E9B6856982}">
      <text>
        <r>
          <rPr>
            <sz val="9"/>
            <color indexed="81"/>
            <rFont val="Tahoma"/>
            <family val="2"/>
          </rPr>
          <t>Write lock: "customer_eeprom_lock_wr"_x000D_
Read lock: "customer_eeprom_lock_rd"</t>
        </r>
      </text>
    </comment>
    <comment ref="E63" authorId="0" shapeId="0" xr:uid="{B5C0C12D-3A93-4521-8947-A33DC51E95FB}">
      <text>
        <r>
          <rPr>
            <sz val="9"/>
            <color indexed="81"/>
            <rFont val="Tahoma"/>
            <family val="2"/>
          </rPr>
          <t xml:space="preserve">Field Name: ecc_1c_x000D_
Access Mode:RW_x000D_
Description:Error correction code. </t>
        </r>
      </text>
    </comment>
    <comment ref="K63" authorId="0" shapeId="0" xr:uid="{857715F9-64C5-4856-AF53-7D3884A08935}">
      <text>
        <r>
          <rPr>
            <sz val="9"/>
            <color indexed="81"/>
            <rFont val="Tahoma"/>
            <family val="2"/>
          </rPr>
          <t xml:space="preserve">Field Name: offset_x000D_
Access Mode:RW_x000D_
Description:Offset correction (two's complement from -8192 to +8191) </t>
        </r>
      </text>
    </comment>
    <comment ref="Y63" authorId="0" shapeId="0" xr:uid="{4A2E3DD9-ECB8-4A2E-9470-03ECA86E51AB}">
      <text>
        <r>
          <rPr>
            <sz val="9"/>
            <color indexed="81"/>
            <rFont val="Tahoma"/>
            <family val="2"/>
          </rPr>
          <t xml:space="preserve">Field Name: gain_coarse_x000D_
Access Mode:RW_x000D_
Description:Coarse gain selection._x000D_
0: coarse_gain = 1_x000D_
1: coarse_gain = 2_x000D_
2: coarse_gain = 4_x000D_
3: coarse_gain = 8_x000D_
4: coarse_gain = 16_x000D_
5-7: coarse_gain = 32 </t>
        </r>
      </text>
    </comment>
    <comment ref="AB63" authorId="0" shapeId="0" xr:uid="{738B1FA4-3BA6-46C2-9082-0A40D4280CF5}">
      <text>
        <r>
          <rPr>
            <sz val="9"/>
            <color indexed="81"/>
            <rFont val="Tahoma"/>
            <family val="2"/>
          </rPr>
          <t xml:space="preserve">Field Name: gain_fine_x000D_
Access Mode:RW_x000D_
Description:Fine gain selection (two's complement, from 0 to +511). </t>
        </r>
      </text>
    </comment>
    <comment ref="C65" authorId="0" shapeId="0" xr:uid="{CFA47B19-C012-4266-A534-CFD65AF9DB8A}">
      <text>
        <r>
          <rPr>
            <sz val="9"/>
            <color indexed="81"/>
            <rFont val="Tahoma"/>
            <family val="2"/>
          </rPr>
          <t>Write lock: "customer_eeprom_lock_wr"_x000D_
Read lock: "customer_eeprom_lock_rd"</t>
        </r>
      </text>
    </comment>
    <comment ref="E65" authorId="0" shapeId="0" xr:uid="{DBAE63CF-A610-4355-A485-B79904F24109}">
      <text>
        <r>
          <rPr>
            <sz val="9"/>
            <color indexed="81"/>
            <rFont val="Tahoma"/>
            <family val="2"/>
          </rPr>
          <t xml:space="preserve">Field Name: ecc_1d_x000D_
Access Mode:RW_x000D_
Description:Error correction code. </t>
        </r>
      </text>
    </comment>
    <comment ref="L65" authorId="0" shapeId="0" xr:uid="{2237D4D4-6341-4C9E-88FE-B2D8F45C4F59}">
      <text>
        <r>
          <rPr>
            <sz val="9"/>
            <color indexed="81"/>
            <rFont val="Tahoma"/>
            <family val="2"/>
          </rPr>
          <t xml:space="preserve">Field Name: clamp_e_x000D_
Access Mode:RW_x000D_
Description:When '1', output clamper is enabled. </t>
        </r>
      </text>
    </comment>
    <comment ref="M65" authorId="0" shapeId="0" xr:uid="{B66ECB38-2BDE-4F86-87ED-B06F8CC832AF}">
      <text>
        <r>
          <rPr>
            <sz val="9"/>
            <color indexed="81"/>
            <rFont val="Tahoma"/>
            <family val="2"/>
          </rPr>
          <t xml:space="preserve">Field Name: clamp_h_x000D_
Access Mode:RW_x000D_
Description:High clamper. </t>
        </r>
      </text>
    </comment>
    <comment ref="Y65" authorId="0" shapeId="0" xr:uid="{F61E2B51-56CE-419B-8BF1-5C07E1BB3816}">
      <text>
        <r>
          <rPr>
            <sz val="9"/>
            <color indexed="81"/>
            <rFont val="Tahoma"/>
            <family val="2"/>
          </rPr>
          <t xml:space="preserve">Field Name: clamp_l_x000D_
Access Mode:RW_x000D_
Description:Low clamper. </t>
        </r>
      </text>
    </comment>
    <comment ref="C67" authorId="0" shapeId="0" xr:uid="{E697E5D5-A1E2-44AD-80FC-EC7E3C40776B}">
      <text>
        <r>
          <rPr>
            <sz val="9"/>
            <color indexed="81"/>
            <rFont val="Tahoma"/>
            <family val="2"/>
          </rPr>
          <t>Write lock: "customer_eeprom_lock_wr"_x000D_
Read lock: "customer_eeprom_lock_rd"</t>
        </r>
      </text>
    </comment>
    <comment ref="E67" authorId="0" shapeId="0" xr:uid="{6E05517B-EED9-4F6D-A928-6F35FCF8FBE0}">
      <text>
        <r>
          <rPr>
            <sz val="9"/>
            <color indexed="81"/>
            <rFont val="Tahoma"/>
            <family val="2"/>
          </rPr>
          <t xml:space="preserve">Field Name: ecc_1e_x000D_
Access Mode:RW_x000D_
Description:Error correction code. </t>
        </r>
      </text>
    </comment>
    <comment ref="Q67" authorId="0" shapeId="0" xr:uid="{B24CF516-38C7-474D-9E54-3DE3696256C7}">
      <text>
        <r>
          <rPr>
            <sz val="9"/>
            <color indexed="81"/>
            <rFont val="Tahoma"/>
            <family val="2"/>
          </rPr>
          <t xml:space="preserve">Field Name: coil_ovcur_e_x000D_
Access Mode:RW_x000D_
Description:When '1', main coil over current detection is enabled. </t>
        </r>
      </text>
    </comment>
    <comment ref="R67" authorId="0" shapeId="0" xr:uid="{16E329FE-8D2D-4F90-9EED-634E8AE25136}">
      <text>
        <r>
          <rPr>
            <sz val="9"/>
            <color indexed="81"/>
            <rFont val="Tahoma"/>
            <family val="2"/>
          </rPr>
          <t xml:space="preserve">Field Name: status_0_msk_x000D_
Access Mode:RW_x000D_
Description:Status 0 register mask. When '1', the associated error is disabled._x000D_
[11]: sup_uv error._x000D_
[12]: sup_ov error._x000D_
[13]: a_sup_hv error._x000D_
[14]: a_coil_current_ov error._x000D_
[15]: Reg map error._x000D_
[16]: V1 - V2 out of range error._x000D_
[17]: V1/V2 (secondary coil) out of range error._x000D_
[18]: Digital signal path error. </t>
        </r>
      </text>
    </comment>
    <comment ref="Z67" authorId="0" shapeId="0" xr:uid="{56765FF3-0732-461E-A9FB-4AA8F6838FE2}">
      <text>
        <r>
          <rPr>
            <sz val="9"/>
            <color indexed="81"/>
            <rFont val="Tahoma"/>
            <family val="2"/>
          </rPr>
          <t xml:space="preserve">Field Name: diag_mode_x000D_
Access Mode:RW_x000D_
Description:When '1', any unmasked error will set the output to high-Z._x000D_
If LBIST was run, LBIST message is always transmitted prior to setting the output to high-Z. </t>
        </r>
      </text>
    </comment>
    <comment ref="AA67" authorId="0" shapeId="0" xr:uid="{35D2F4D7-00B6-4C32-BDD8-13E9BA2CBBB8}">
      <text>
        <r>
          <rPr>
            <sz val="9"/>
            <color indexed="81"/>
            <rFont val="Tahoma"/>
            <family val="2"/>
          </rPr>
          <t xml:space="preserve">Field Name: abist_ack_x000D_
Access Mode:RW_x000D_
Description:ABIST acknowledge enable. </t>
        </r>
      </text>
    </comment>
    <comment ref="AB67" authorId="0" shapeId="0" xr:uid="{C22DD1FE-1B20-4770-ACF6-C0B8511F7899}">
      <text>
        <r>
          <rPr>
            <sz val="9"/>
            <color indexed="81"/>
            <rFont val="Tahoma"/>
            <family val="2"/>
          </rPr>
          <t xml:space="preserve">Field Name: lbist_ack_x000D_
Access Mode:RW_x000D_
Description:LBIST acknowledge enable. </t>
        </r>
      </text>
    </comment>
    <comment ref="AC67" authorId="0" shapeId="0" xr:uid="{CAFB0805-53F5-4509-A073-5609690CAFD2}">
      <text>
        <r>
          <rPr>
            <sz val="9"/>
            <color indexed="81"/>
            <rFont val="Tahoma"/>
            <family val="2"/>
          </rPr>
          <t xml:space="preserve">Field Name: abist_e_x000D_
Access Mode:RW_x000D_
Description:ABIST enable configuration:_x000D_
\s\s\s00 - Disabled._x000D_
\s\s\s01 - Power on._x000D_
\s\s\s10 - User requested._x000D_
\s\s\s11 - Both._x000D_
(User requested can be either customer, factory or open depending where is placed bist_start volatile field). </t>
        </r>
      </text>
    </comment>
    <comment ref="AE67" authorId="0" shapeId="0" xr:uid="{63232B98-F738-49CB-BD52-482786C02FC0}">
      <text>
        <r>
          <rPr>
            <sz val="9"/>
            <color indexed="81"/>
            <rFont val="Tahoma"/>
            <family val="2"/>
          </rPr>
          <t xml:space="preserve">Field Name: lbist_e_x000D_
Access Mode:RW_x000D_
Description:LBIST enable configuration:_x000D_
\s\s\s00 - Disabled._x000D_
\s\s\s01 - Power on._x000D_
\s\s\s10 - User requested._x000D_
\s\s\s11 - Both._x000D_
(User requested can be either customer, factory or open depending where is placed bist_start volatile field). </t>
        </r>
      </text>
    </comment>
    <comment ref="AG67" authorId="0" shapeId="0" xr:uid="{9975E830-8108-43FD-BD86-1E6337053F63}">
      <text>
        <r>
          <rPr>
            <sz val="9"/>
            <color indexed="81"/>
            <rFont val="Tahoma"/>
            <family val="2"/>
          </rPr>
          <t xml:space="preserve">Field Name: mem_lock_x000D_
Access Mode:RW_x000D_
Description:'0011': EEPROM Lock: Prevents writes to EEPROM but all registers including shadow can be written. All registers and EEPROM can be read._x000D_
'0110': Write Lock: Prevents writing anything to either EEPROM or registers. All registers and EEPROM can still be read._x000D_
'1100': Full Lock: Prevents all access to the device. </t>
        </r>
      </text>
    </comment>
    <comment ref="C69" authorId="0" shapeId="0" xr:uid="{A2158B00-7BAD-4E6D-96B9-0C8C127E9450}">
      <text>
        <r>
          <rPr>
            <sz val="9"/>
            <color indexed="81"/>
            <rFont val="Tahoma"/>
            <family val="2"/>
          </rPr>
          <t>Write lock: "customer_eeprom_lock_wr"_x000D_
Read lock: "customer_eeprom_lock_rd"</t>
        </r>
      </text>
    </comment>
    <comment ref="E69" authorId="0" shapeId="0" xr:uid="{B7D0B8D4-C10C-4BDE-B3F4-2D6365ACAD9D}">
      <text>
        <r>
          <rPr>
            <sz val="9"/>
            <color indexed="81"/>
            <rFont val="Tahoma"/>
            <family val="2"/>
          </rPr>
          <t xml:space="preserve">Field Name: ecc_1f_x000D_
Access Mode:RW_x000D_
Description:Error correction code. </t>
        </r>
      </text>
    </comment>
    <comment ref="M69" authorId="0" shapeId="0" xr:uid="{818DAD12-5A82-46AB-81B8-D25EB8612D45}">
      <text>
        <r>
          <rPr>
            <sz val="9"/>
            <color indexed="81"/>
            <rFont val="Tahoma"/>
            <family val="2"/>
          </rPr>
          <t xml:space="preserve">Field Name: cust_word_x000D_
Access Mode:RW_x000D_
Description:Customer reserved word. </t>
        </r>
      </text>
    </comment>
    <comment ref="C79" authorId="0" shapeId="0" xr:uid="{4A9DB1D3-E03F-4C09-B391-9C9060D0F0D6}">
      <text>
        <r>
          <rPr>
            <sz val="9"/>
            <color indexed="81"/>
            <rFont val="Tahoma"/>
            <family val="2"/>
          </rPr>
          <t>Write lock: "factory_register_lock_wr"_x000D_
Read lock: "customer_register_lock_rd"</t>
        </r>
      </text>
    </comment>
    <comment ref="S79" authorId="0" shapeId="0" xr:uid="{525AD549-836C-4A92-9F0C-B887797BE6D8}">
      <text>
        <r>
          <rPr>
            <sz val="9"/>
            <color indexed="81"/>
            <rFont val="Tahoma"/>
            <family val="2"/>
          </rPr>
          <t>Field Name: sup_det_test_e_x000D_
Access Mode:RW_x000D_
Description:Enter supply detect mode.  Drive output to a fixed state based on VCC._x000D_
 {hdl_path u_dig_top.u_dft_wrapper.u_scan_wrapper.u_functional_top.u_ids_top.u_direct_regmap.shadow_shadow_4_sup_det_test_e_q}</t>
        </r>
      </text>
    </comment>
    <comment ref="T79" authorId="0" shapeId="0" xr:uid="{9E479207-E838-4FF4-9DCA-28AF5FC368A6}">
      <text>
        <r>
          <rPr>
            <sz val="9"/>
            <color indexed="81"/>
            <rFont val="Tahoma"/>
            <family val="2"/>
          </rPr>
          <t>Field Name: d_sup_uv_sel_x000D_
Access Mode:RW_x000D_
Description:UV threshold trimming._x000D_
'00': Threshold is set to 4.2 V._x000D_
'01': Threshold is set to 4.1 V._x000D_
'10': Threshold is set to 4.3 V._x000D_
'11': Threshold is set to 4.4 V._x000D_
_x000D_
_x000D_
 {output_coupling true} {scan_val 0} {hdl_path u_dig_top.u_dft_wrapper.u_scan_wrapper.u_functional_top.u_ids_top.u_direct_regmap.shadow_shadow_4_d_sup_uv_sel_q}</t>
        </r>
      </text>
    </comment>
    <comment ref="V79" authorId="0" shapeId="0" xr:uid="{7C822E24-31D9-432C-B1EB-700802B8F498}">
      <text>
        <r>
          <rPr>
            <sz val="9"/>
            <color indexed="81"/>
            <rFont val="Tahoma"/>
            <family val="2"/>
          </rPr>
          <t>Field Name: d_sup_ov_sel_x000D_
Access Mode:RW_x000D_
Description:OV threshold trimming._x000D_
'00': Threshold is set to 7 V._x000D_
'01': Threshold is set to 6.5 V._x000D_
'10': Threshold is set to 7.5 V._x000D_
'11': Threshold is set to 8 V._x000D_
_x000D_
_x000D_
 {output_coupling true} {scan_val 0} {hdl_path u_dig_top.u_dft_wrapper.u_scan_wrapper.u_functional_top.u_ids_top.u_direct_regmap.shadow_shadow_4_d_sup_ov_sel_q}</t>
        </r>
      </text>
    </comment>
    <comment ref="X79" authorId="0" shapeId="0" xr:uid="{A6346032-2548-461B-B5D1-156831A87AE0}">
      <text>
        <r>
          <rPr>
            <sz val="9"/>
            <color indexed="81"/>
            <rFont val="Tahoma"/>
            <family val="2"/>
          </rPr>
          <t>Field Name: d_sup_hv_sel_x000D_
Access Mode:RW_x000D_
Description:HV threshold trimming._x000D_
'00': Threshold is set to 16 V._x000D_
'01': Threshold is set to 15 V._x000D_
'10': Threshold is set to 14 V._x000D_
'11': Threshold is set to 13 V._x000D_
_x000D_
_x000D_
 {output_coupling true} {scan_val 0} {hdl_path u_dig_top.u_dft_wrapper.u_scan_wrapper.u_functional_top.u_ids_top.u_direct_regmap.shadow_shadow_4_d_sup_hv_sel_q}</t>
        </r>
      </text>
    </comment>
    <comment ref="Z79" authorId="0" shapeId="0" xr:uid="{BD1F2714-3F23-49A2-ABAA-C68B0EA93282}">
      <text>
        <r>
          <rPr>
            <sz val="9"/>
            <color indexed="81"/>
            <rFont val="Tahoma"/>
            <family val="2"/>
          </rPr>
          <t>Field Name: d_sup_por_sel_x000D_
Access Mode:RW_x000D_
Description:POR threshold trimming._x000D_
'00': Threshold is set to 3.7 V._x000D_
'01': Threshold is set to 3.6 V._x000D_
'10': Threshold is set to 3.8 V._x000D_
'11': Threshold is set to 3.9 V._x000D_
_x000D_
_x000D_
 {registered false} {trimming true} {hdl_path u_dig_top.u_trim_mngr_d_sup_por_sel.trim_data_ltch}</t>
        </r>
      </text>
    </comment>
    <comment ref="AB79" authorId="0" shapeId="0" xr:uid="{20CD31FE-4EA9-4BFC-8D63-EB0C16AE38D0}">
      <text>
        <r>
          <rPr>
            <sz val="9"/>
            <color indexed="81"/>
            <rFont val="Tahoma"/>
            <family val="2"/>
          </rPr>
          <t>Field Name: d_osc_half_x000D_
Access Mode:RW_x000D_
Description:When '1', the oscillator internally runs at half frequency but its output is always 16MHz nominal._x000D_
_x000D_
_x000D_
 {registered false} {trimming true} {hdl_path u_dig_top.u_trim_mngr_d_osc_half.trim_data_ltch}</t>
        </r>
      </text>
    </comment>
    <comment ref="AC79" authorId="0" shapeId="0" xr:uid="{E383D477-D40F-4448-99B2-1E5F143E0FE9}">
      <text>
        <r>
          <rPr>
            <sz val="9"/>
            <color indexed="81"/>
            <rFont val="Tahoma"/>
            <family val="2"/>
          </rPr>
          <t>Field Name: d_osc_trim_x000D_
Access Mode:RW_x000D_
Description:Oscillator trimming during POR data._x000D_
'0000': Nominal freq is set to mean val = 32 MHz._x000D_
'0111': Nominal freq is set to max val = 38.7 MHz_x000D_
'1111': Nominal freq is set to min val = 23.3 MHz._x000D_
LSB step = 1MHz._x000D_
_x000D_
_x000D_
 {registered false} {trimming true} {hdl_path u_dig_top.u_trim_mngr_d_osc_trim.trim_data_ltch}</t>
        </r>
      </text>
    </comment>
    <comment ref="AG79" authorId="0" shapeId="0" xr:uid="{410789ED-EFBC-4D69-A8D8-37BA9100A91D}">
      <text>
        <r>
          <rPr>
            <sz val="9"/>
            <color indexed="81"/>
            <rFont val="Tahoma"/>
            <family val="2"/>
          </rPr>
          <t>Field Name: d_ibias_trim_x000D_
Access Mode:RW_x000D_
Description:Bias current trimming during POR data._x000D_
'0000': Nominal current is set to mean val = 5uA._x000D_
'1111': Nominal current is set to min val = 6.6uA._x000D_
'0111': Nominal current is set to max val = 3.18uA._x000D_
LSB step = 228nA._x000D_
_x000D_
_x000D_
 {registered false} {trimming true} {hdl_path u_dig_top.u_trim_mngr_d_ibias_trim.trim_data_ltch}</t>
        </r>
      </text>
    </comment>
    <comment ref="C81" authorId="0" shapeId="0" xr:uid="{51F09D6F-F2A3-4FDF-BBF3-D149FE21BFDA}">
      <text>
        <r>
          <rPr>
            <sz val="9"/>
            <color indexed="81"/>
            <rFont val="Tahoma"/>
            <family val="2"/>
          </rPr>
          <t>Write lock: "factory_register_lock_wr"_x000D_
Read lock: "customer_register_lock_rd"</t>
        </r>
      </text>
    </comment>
    <comment ref="T81" authorId="0" shapeId="0" xr:uid="{E6618118-7299-446F-B47E-FC9EA4D652E1}">
      <text>
        <r>
          <rPr>
            <sz val="9"/>
            <color indexed="81"/>
            <rFont val="Tahoma"/>
            <family val="2"/>
          </rPr>
          <t>Field Name: status_1_msk_x000D_
Access Mode:RW_x000D_
Description:Status 1 register mask. When '1', the associated error is disabled._x000D_
[16]: Mask for sl_v1_m_v2_oor_hi andsl_v1_m_v2_oor_lo._x000D_
[15]: Mask for sl_v1_div_v2_oor_hi and sl_v1_div_v2_oor_lo._x000D_
[14]: Mask for sl_kalman_p_oor_hi and sl_kalman_p_oor_lo._x000D_
[13]: Mask for sl_rrl_int1_oor_hi and sl_rrl_int1_oor_lo._x000D_
[12]: Mask for sl_rrl_int2_oor_hi and sl_rrl_int2_oor_lo._x000D_
[11]: Mask for sl_bwsel_oor_hi and sl_bwsel_oor_lo._x000D_
[10]: Mask for sl_div_by_zero._x000D_
[9]: Mask for sl_rrl_cic21_oor_hi and sl_rrl_cic21_oor_hi._x000D_
[8]: Mask for sl_rrl_cic22_oor_hi and sl_rrl_cic22_oor_lo._x000D_
[7]: Mask for sl_p_oor_hi._x000D_
[6]: Mask for sl_p_sec_oor_hi._x000D_
[5]: Mask for sl_linearization_oor_hi and sl_linearization_oor_lo._x000D_
[4]: Mask for sl_clmp_oor_hi and sl_clmp_oor_lo._x000D_
[3]: Mask for sl_rrl_cic11_oor_hi and sl_rrl_cic11_oor_lo._x000D_
[2]: Mask for sl_rrl_cic12_oor_hi and sl_rrl_cic12_oor_lo._x000D_
[1]: Mask for sl_cic41_sign_error and sl_cic42_sign_error._x000D_
[0]: Mask sl_v1_m_v2_sign_error._x000D_
 {hdl_path status_1_msk_q}</t>
        </r>
      </text>
    </comment>
    <comment ref="C83" authorId="0" shapeId="0" xr:uid="{5A010184-10F0-4420-A638-29A50817E482}">
      <text>
        <r>
          <rPr>
            <sz val="9"/>
            <color indexed="81"/>
            <rFont val="Tahoma"/>
            <family val="2"/>
          </rPr>
          <t>Write lock: "factory_register_lock_wr"_x000D_
Read lock: "customer_register_lock_rd"</t>
        </r>
      </text>
    </comment>
    <comment ref="K83" authorId="0" shapeId="0" xr:uid="{FBA46F6A-92F6-43D4-B141-FCBF59587C19}">
      <text>
        <r>
          <rPr>
            <sz val="9"/>
            <color indexed="81"/>
            <rFont val="Tahoma"/>
            <family val="2"/>
          </rPr>
          <t>Field Name: sh_fill_me_6_x000D_
Access Mode:RW_x000D_
Description:Reserved for spare purposes._x000D_
 {hdl_path sh_fill_me_6_q}</t>
        </r>
      </text>
    </comment>
    <comment ref="C85" authorId="0" shapeId="0" xr:uid="{328D3626-FE6C-4FED-9D7B-10F379360EE8}">
      <text>
        <r>
          <rPr>
            <sz val="9"/>
            <color indexed="81"/>
            <rFont val="Tahoma"/>
            <family val="2"/>
          </rPr>
          <t>Write lock: "factory_register_lock_wr"_x000D_
Read lock: "customer_register_lock_rd"</t>
        </r>
      </text>
    </comment>
    <comment ref="L85" authorId="0" shapeId="0" xr:uid="{BAF162D7-98ED-4325-B45D-696D4235A100}">
      <text>
        <r>
          <rPr>
            <sz val="9"/>
            <color indexed="81"/>
            <rFont val="Tahoma"/>
            <family val="2"/>
          </rPr>
          <t>Field Name: d_iscoil_trim_x000D_
Access Mode:RW_x000D_
Description:Secondary coil current trimming._x000D_
'00': Nominal value (200uA)._x000D_
'01': +40%_x000D_
'10': -50%_x000D_
'11': -10%_x000D_
_x000D_
_x000D_
 {hdl_path d_iscoil_trim_q} {output_coupling true} {scan_val 0}</t>
        </r>
      </text>
    </comment>
    <comment ref="N85" authorId="0" shapeId="0" xr:uid="{C1D48B32-6FBC-45CE-837F-F6D085DB76D5}">
      <text>
        <r>
          <rPr>
            <sz val="9"/>
            <color indexed="81"/>
            <rFont val="Tahoma"/>
            <family val="2"/>
          </rPr>
          <t>Field Name: d_mcoil_dly_x000D_
Access Mode:RW_x000D_
Description:Main coil clock delay._x000D_
_x000D_
_x000D_
 {hdl_path d_mcoil_dly_q} {output_coupling true} {scan_val 0}</t>
        </r>
      </text>
    </comment>
    <comment ref="R85" authorId="0" shapeId="0" xr:uid="{CEC75201-0E78-4280-8DDC-29F04AE6B4D0}">
      <text>
        <r>
          <rPr>
            <sz val="9"/>
            <color indexed="81"/>
            <rFont val="Tahoma"/>
            <family val="2"/>
          </rPr>
          <t>Field Name: d_sum_channels_x000D_
Access Mode:RW_x000D_
Description:When '1', channels are added/subtracted in the analog domain instead of the digital one._x000D_
_x000D_
_x000D_
 {hdl_path d_sum_channels_q} {output_coupling true} {scan_val 0}</t>
        </r>
      </text>
    </comment>
    <comment ref="S85" authorId="0" shapeId="0" xr:uid="{0938C5D9-E833-4065-A81C-DA3A41522D11}">
      <text>
        <r>
          <rPr>
            <sz val="9"/>
            <color indexed="81"/>
            <rFont val="Tahoma"/>
            <family val="2"/>
          </rPr>
          <t>Field Name: d_offset_coarse_e_x000D_
Access Mode:RW_x000D_
Description:When '1', the coarse offset DAC is enabled._x000D_
_x000D_
_x000D_
 {hdl_path d_offset_coarse_e_q} {output_coupling true} {scan_val 0}</t>
        </r>
      </text>
    </comment>
    <comment ref="T85" authorId="0" shapeId="0" xr:uid="{2C9F2F22-BF57-4D3C-887D-6503A79D5A44}">
      <text>
        <r>
          <rPr>
            <sz val="9"/>
            <color indexed="81"/>
            <rFont val="Tahoma"/>
            <family val="2"/>
          </rPr>
          <t>Field Name: d_offset_coarse_pol_x000D_
Access Mode:RW_x000D_
Description:'0' is negative offset, '1' is positive offset._x000D_
_x000D_
_x000D_
 {hdl_path d_offset_coarse_pol_q} {output_coupling true} {scan_val 0}</t>
        </r>
      </text>
    </comment>
    <comment ref="U85" authorId="0" shapeId="0" xr:uid="{CFC0E79F-7E64-47E4-9286-9FE84D75BF3B}">
      <text>
        <r>
          <rPr>
            <sz val="9"/>
            <color indexed="81"/>
            <rFont val="Tahoma"/>
            <family val="2"/>
          </rPr>
          <t>Field Name: d_offset_coarse_x000D_
Access Mode:RW_x000D_
Description:Coarse adjust of differential offset for each channel for unidirectional mode-like operation._x000D_
'111': Voffset magnitude is set to min val = 250mV._x000D_
'000': Voffset magnitude is set to max val = 2V._x000D_
LSB step = 250mV._x000D_
_x000D_
_x000D_
 {hdl_path d_offset_coarse_q} {output_coupling true} {scan_val 0}</t>
        </r>
      </text>
    </comment>
    <comment ref="X85" authorId="0" shapeId="0" xr:uid="{DDE28E11-39B2-43A0-8B5A-1F81F19977DC}">
      <text>
        <r>
          <rPr>
            <sz val="9"/>
            <color indexed="81"/>
            <rFont val="Tahoma"/>
            <family val="2"/>
          </rPr>
          <t>Field Name: d_rrl_e_x000D_
Access Mode:RW_x000D_
Description:When '1', RRLs are enabled for both channels._x000D_
_x000D_
_x000D_
 {hdl_path d_rrl_e_q} {output_coupling true} {scan_val 0}</t>
        </r>
      </text>
    </comment>
    <comment ref="Y85" authorId="0" shapeId="0" xr:uid="{8C2F6F8A-8C0D-4882-ACF3-AE7BEE14DE01}">
      <text>
        <r>
          <rPr>
            <sz val="9"/>
            <color indexed="81"/>
            <rFont val="Tahoma"/>
            <family val="2"/>
          </rPr>
          <t>Field Name: d_sdm_clk_half_x000D_
Access Mode:RW_x000D_
Description:Bit to set CTSDM at 8MHz instead of 16MHz (default). Analog uses it as an input to adapt the RCs in the modulator. Digital changes the SDM to 8MHz._x000D_
_x000D_
_x000D_
 {hdl_path d_sdm_clk_half_q} {output_coupling true} {scan_val 0}</t>
        </r>
      </text>
    </comment>
    <comment ref="Z85" authorId="0" shapeId="0" xr:uid="{64FF8B4C-66EE-4B77-B1FE-488D52318391}">
      <text>
        <r>
          <rPr>
            <sz val="9"/>
            <color indexed="81"/>
            <rFont val="Tahoma"/>
            <family val="2"/>
          </rPr>
          <t>Field Name: d_vcoil_trim_x000D_
Access Mode:RW_x000D_
Description:Fine trimming of Vcoil to set the coil current level._x000D_
'0000': Vcoil is set to min val = 2.3 V._x000D_
'1111': Vcoil is set to max val = 3.2375 V._x000D_
LSB step = 62.5 mV._x000D_
_x000D_
_x000D_
 {hdl_path d_vcoil_trim_q} {output_coupling true} {scan_val 0}</t>
        </r>
      </text>
    </comment>
    <comment ref="AD85" authorId="0" shapeId="0" xr:uid="{58570FDA-3FAD-4A34-93BD-C2D44BDE94DF}">
      <text>
        <r>
          <rPr>
            <sz val="9"/>
            <color indexed="81"/>
            <rFont val="Tahoma"/>
            <family val="2"/>
          </rPr>
          <t>Field Name: d_sdm_chop_e_x000D_
Access Mode:RW_x000D_
Description:When '1', the Sigma-Delta modulator chopper is enabled._x000D_
_x000D_
_x000D_
 {hdl_path d_sdm_chop_e_q} {output_coupling true} {scan_val 0}</t>
        </r>
      </text>
    </comment>
    <comment ref="AE85" authorId="0" shapeId="0" xr:uid="{67E692FB-D1FC-41B8-8505-BE20599954DD}">
      <text>
        <r>
          <rPr>
            <sz val="9"/>
            <color indexed="81"/>
            <rFont val="Tahoma"/>
            <family val="2"/>
          </rPr>
          <t>Field Name: d_afe1_gain_x000D_
Access Mode:RW_x000D_
Description:AFE 1 Gain selection._x000D_
'0': Gain set to 12x._x000D_
'1': Gain set to 6x._x000D_
_x000D_
_x000D_
 {hdl_path d_afe1_gain_q} {output_coupling true} {scan_val 0}</t>
        </r>
      </text>
    </comment>
    <comment ref="AF85" authorId="0" shapeId="0" xr:uid="{D044D9A1-140B-475C-AFDB-1AE665F2F5C0}">
      <text>
        <r>
          <rPr>
            <sz val="9"/>
            <color indexed="81"/>
            <rFont val="Tahoma"/>
            <family val="2"/>
          </rPr>
          <t>Field Name: d_afe2_gain_x000D_
Access Mode:RW_x000D_
Description:AFE 2 Gain selection._x000D_
'0': Gain set to 12x._x000D_
'1': Gain set to 6x._x000D_
_x000D_
_x000D_
 {hdl_path d_afe2_gain_q} {output_coupling true} {scan_val 0}</t>
        </r>
      </text>
    </comment>
    <comment ref="AG85" authorId="0" shapeId="0" xr:uid="{921D9604-1DDF-43E1-8F7C-F198392C0757}">
      <text>
        <r>
          <rPr>
            <sz val="9"/>
            <color indexed="81"/>
            <rFont val="Tahoma"/>
            <family val="2"/>
          </rPr>
          <t>Field Name: pga_gain_x000D_
Access Mode:RW_x000D_
Description:PGA Gain selection._x000D_
'00': PGA Gain is set to 1x._x000D_
'01': PGA Gain is set to 1.5x._x000D_
'10': PGA Gain is set to 2x._x000D_
'11': PGA Gain is set to 3x._x000D_
 {hdl_path pga_gain_q}</t>
        </r>
      </text>
    </comment>
    <comment ref="AI85" authorId="0" shapeId="0" xr:uid="{CCCB5FA7-DC9A-4C42-BF0E-96B57CF05B8E}">
      <text>
        <r>
          <rPr>
            <sz val="9"/>
            <color indexed="81"/>
            <rFont val="Tahoma"/>
            <family val="2"/>
          </rPr>
          <t>Field Name: pga_gain_postlock_x000D_
Access Mode:RW_x000D_
Description:PGA gain selection when RRL is already locked._x000D_
'00': PGA Gain is set to 1x._x000D_
'01': PGA Gain is set to 1.5x._x000D_
'10': PGA Gain is set to 2x._x000D_
'11': PGA Gain is set to 3x._x000D_
 {hdl_path pga_gain_postlock_q}</t>
        </r>
      </text>
    </comment>
    <comment ref="C87" authorId="0" shapeId="0" xr:uid="{18B91759-71A0-4E9F-B43B-D34F7B9CC77C}">
      <text>
        <r>
          <rPr>
            <sz val="9"/>
            <color indexed="81"/>
            <rFont val="Tahoma"/>
            <family val="2"/>
          </rPr>
          <t>Write lock: "factory_register_lock_wr"_x000D_
Read lock: "customer_register_lock_rd"</t>
        </r>
      </text>
    </comment>
    <comment ref="K87" authorId="0" shapeId="0" xr:uid="{7531E840-45A4-4316-AE33-018608D6F353}">
      <text>
        <r>
          <rPr>
            <sz val="9"/>
            <color indexed="81"/>
            <rFont val="Tahoma"/>
            <family val="2"/>
          </rPr>
          <t>Field Name: rrl_clock_polarity_x000D_
Access Mode:RW_x000D_
Description:When '1', the RRL clock clock polarity is inverted._x000D_
 {hdl_path rrl_clock_polarity_q}</t>
        </r>
      </text>
    </comment>
    <comment ref="L87" authorId="0" shapeId="0" xr:uid="{65C54961-82D6-409F-987D-1185B794CDD4}">
      <text>
        <r>
          <rPr>
            <sz val="9"/>
            <color indexed="81"/>
            <rFont val="Tahoma"/>
            <family val="2"/>
          </rPr>
          <t>Field Name: mcoil_polarity_x000D_
Access Mode:RW_x000D_
Description:When '1', the main coil clock polarity is inverted._x000D_
 {hdl_path mcoil_polarity_q}</t>
        </r>
      </text>
    </comment>
    <comment ref="M87" authorId="0" shapeId="0" xr:uid="{A950AF41-CD01-44B3-B158-93E353E722C1}">
      <text>
        <r>
          <rPr>
            <sz val="9"/>
            <color indexed="81"/>
            <rFont val="Tahoma"/>
            <family val="2"/>
          </rPr>
          <t>Field Name: scoil_polarity_x000D_
Access Mode:RW_x000D_
Description:When '1', the secondary coil clock polarity is inverted._x000D_
 {hdl_path scoil_polarity_q}</t>
        </r>
      </text>
    </comment>
    <comment ref="N87" authorId="0" shapeId="0" xr:uid="{1AD377F3-30F8-4690-A6B8-C7B58562A423}">
      <text>
        <r>
          <rPr>
            <sz val="9"/>
            <color indexed="81"/>
            <rFont val="Tahoma"/>
            <family val="2"/>
          </rPr>
          <t>Field Name: tmr_polarity_x000D_
Access Mode:RW_x000D_
Description:When '1', TMR clock polarity is inverted._x000D_
 {hdl_path tmr_polarity_q}</t>
        </r>
      </text>
    </comment>
    <comment ref="O87" authorId="0" shapeId="0" xr:uid="{6C33F62A-914B-4A15-B25B-D2BDE1030450}">
      <text>
        <r>
          <rPr>
            <sz val="9"/>
            <color indexed="81"/>
            <rFont val="Tahoma"/>
            <family val="2"/>
          </rPr>
          <t>Field Name: rrl_for_test_x000D_
Access Mode:RW_x000D_
Description:When '1', RRL used for testing instead of offset reduction._x000D_
 {hdl_path rrl_for_test_q}</t>
        </r>
      </text>
    </comment>
    <comment ref="P87" authorId="0" shapeId="0" xr:uid="{7B4C9FFA-0ECD-4CFD-924B-1150B9BA5912}">
      <text>
        <r>
          <rPr>
            <sz val="9"/>
            <color indexed="81"/>
            <rFont val="Tahoma"/>
            <family val="2"/>
          </rPr>
          <t>Field Name: swp_channels_x000D_
Access Mode:RW_x000D_
Description:When '1', digital channels are swapped before division._x000D_
 {hdl_path swp_channels_q}</t>
        </r>
      </text>
    </comment>
    <comment ref="Q87" authorId="0" shapeId="0" xr:uid="{6D7B9E73-CAC9-4F22-8F86-29D81A0F9A1E}">
      <text>
        <r>
          <rPr>
            <sz val="9"/>
            <color indexed="81"/>
            <rFont val="Tahoma"/>
            <family val="2"/>
          </rPr>
          <t>Field Name: scoil_dis_x000D_
Access Mode:RW_x000D_
Description:When '1', the secondary coil is disabled during normal operation (not for ABIST). _x000D_
 {hdl_path scoil_dis_q}</t>
        </r>
      </text>
    </comment>
    <comment ref="R87" authorId="0" shapeId="0" xr:uid="{F000BA3E-54A9-4552-A29D-B5A03B738937}">
      <text>
        <r>
          <rPr>
            <sz val="9"/>
            <color indexed="81"/>
            <rFont val="Tahoma"/>
            <family val="2"/>
          </rPr>
          <t>Field Name: tt_hys_x000D_
Access Mode:RW_x000D_
Description:Tiny temp hysteresis window in LSBs._x000D_
 {hdl_path tt_hys_q}</t>
        </r>
      </text>
    </comment>
    <comment ref="W87" authorId="0" shapeId="0" xr:uid="{55D12C3D-ACFC-4699-AC44-929AFF529017}">
      <text>
        <r>
          <rPr>
            <sz val="9"/>
            <color indexed="81"/>
            <rFont val="Tahoma"/>
            <family val="2"/>
          </rPr>
          <t>Field Name: tt_hys_e_x000D_
Access Mode:RW_x000D_
Description:Tiny temp hysteresis enable._x000D_
 {hdl_path tt_hys_e_q}</t>
        </r>
      </text>
    </comment>
    <comment ref="X87" authorId="0" shapeId="0" xr:uid="{093F3526-3125-4674-9A60-E6B4723CF5AB}">
      <text>
        <r>
          <rPr>
            <sz val="9"/>
            <color indexed="81"/>
            <rFont val="Tahoma"/>
            <family val="2"/>
          </rPr>
          <t>Field Name: tt_toff_x000D_
Access Mode:RW_x000D_
Description:Tiny temp offset compensation (two's complement from -128 to +127)._x000D_
Effective offset: 4 x tt_toff._x000D_
 {hdl_path tt_toff_q}</t>
        </r>
      </text>
    </comment>
    <comment ref="AF87" authorId="0" shapeId="0" xr:uid="{2E398AB4-39C3-4BB4-BBF5-65931774DA0A}">
      <text>
        <r>
          <rPr>
            <sz val="9"/>
            <color indexed="81"/>
            <rFont val="Tahoma"/>
            <family val="2"/>
          </rPr>
          <t>Field Name: tt_chop_dis_x000D_
Access Mode:RW_x000D_
Description:When '1', Tiny Temp chopper is disabled._x000D_
 {hdl_path tt_chop_dis_q}</t>
        </r>
      </text>
    </comment>
    <comment ref="AG87" authorId="0" shapeId="0" xr:uid="{0D9F5393-2BDE-43CA-B2E6-0937F420225A}">
      <text>
        <r>
          <rPr>
            <sz val="9"/>
            <color indexed="81"/>
            <rFont val="Tahoma"/>
            <family val="2"/>
          </rPr>
          <t>Field Name: kalman_p_gain_x000D_
Access Mode:RW_x000D_
Description:Kalman filter for P divisor gain selection._x000D_
'00': 1/8_x000D_
'01': 1/16_x000D_
'10': 1/32_x000D_
'11': 1/64_x000D_
 {hdl_path kalman_p_gain_q}</t>
        </r>
      </text>
    </comment>
    <comment ref="AI87" authorId="0" shapeId="0" xr:uid="{290A7DB3-3DCF-474B-9AE1-5787B197927A}">
      <text>
        <r>
          <rPr>
            <sz val="9"/>
            <color indexed="81"/>
            <rFont val="Tahoma"/>
            <family val="2"/>
          </rPr>
          <t>Field Name: kalman_p_e_x000D_
Access Mode:RW_x000D_
Description:Enables Kalman filter for P divisor._x000D_
 {hdl_path kalman_p_e_q}</t>
        </r>
      </text>
    </comment>
    <comment ref="AJ87" authorId="0" shapeId="0" xr:uid="{8BF1BDBF-C34A-45C6-B5ED-7F39B1B8CD93}">
      <text>
        <r>
          <rPr>
            <sz val="9"/>
            <color indexed="81"/>
            <rFont val="Tahoma"/>
            <family val="2"/>
          </rPr>
          <t>Field Name: afe_chop_e_x000D_
Access Mode:RW_x000D_
Description:When '1', chopper is enabled for both channels AFE._x000D_
 {hdl_path afe_chop_e_q}</t>
        </r>
      </text>
    </comment>
    <comment ref="C89" authorId="0" shapeId="0" xr:uid="{B4E54F7B-8EC3-4508-B73D-DE1429DCE43C}">
      <text>
        <r>
          <rPr>
            <sz val="9"/>
            <color indexed="81"/>
            <rFont val="Tahoma"/>
            <family val="2"/>
          </rPr>
          <t>Write lock: "factory_register_lock_wr"_x000D_
Read lock: "customer_register_lock_rd"</t>
        </r>
      </text>
    </comment>
    <comment ref="K89" authorId="0" shapeId="0" xr:uid="{052DD211-7ED5-40A6-AB53-A77233559673}">
      <text>
        <r>
          <rPr>
            <sz val="9"/>
            <color indexed="81"/>
            <rFont val="Tahoma"/>
            <family val="2"/>
          </rPr>
          <t>Field Name: sh_fill_me_9_x000D_
Access Mode:RW_x000D_
Description:Reserved as spare._x000D_
 {hdl_path sh_fill_me_9_q}</t>
        </r>
      </text>
    </comment>
    <comment ref="O89" authorId="0" shapeId="0" xr:uid="{95C38BF3-0A26-4B72-AF14-11F6E4BCAD98}">
      <text>
        <r>
          <rPr>
            <sz val="9"/>
            <color indexed="81"/>
            <rFont val="Tahoma"/>
            <family val="2"/>
          </rPr>
          <t>Field Name: block_volatile_output_x000D_
Access Mode:RW_x000D_
Description:Block volatile outputs to avoid false test mode activating._x000D_
 {hdl_path block_volatile_output_q}</t>
        </r>
      </text>
    </comment>
    <comment ref="P89" authorId="0" shapeId="0" xr:uid="{190F5592-5B8C-4B1D-8119-7AC62F55AAF2}">
      <text>
        <r>
          <rPr>
            <sz val="9"/>
            <color indexed="81"/>
            <rFont val="Tahoma"/>
            <family val="2"/>
          </rPr>
          <t>Field Name: comp_e_x000D_
Access Mode:RW_x000D_
Description:When '1', compensation is enabled. Otherwise it is bypassed._x000D_
 {hdl_path comp_e_q}</t>
        </r>
      </text>
    </comment>
    <comment ref="Q89" authorId="0" shapeId="0" xr:uid="{B50C055E-E4A6-442B-9FF3-1930F1E56E3D}">
      <text>
        <r>
          <rPr>
            <sz val="9"/>
            <color indexed="81"/>
            <rFont val="Tahoma"/>
            <family val="2"/>
          </rPr>
          <t>Field Name: vo1_tc_x000D_
Access Mode:RW_x000D_
Description:V1 offset TC (two's complement from -512 to +511)._x000D_
 {hdl_path vo1_tc_q}</t>
        </r>
      </text>
    </comment>
    <comment ref="AA89" authorId="0" shapeId="0" xr:uid="{3ABFDC08-3685-4893-B982-5B09C46CB0CE}">
      <text>
        <r>
          <rPr>
            <sz val="9"/>
            <color indexed="81"/>
            <rFont val="Tahoma"/>
            <family val="2"/>
          </rPr>
          <t>Field Name: vo1_room_x000D_
Access Mode:RW_x000D_
Description:V1 offset at 25?C (two's complement from -512 to +511)._x000D_
 {hdl_path vo1_room_q}</t>
        </r>
      </text>
    </comment>
    <comment ref="C91" authorId="0" shapeId="0" xr:uid="{C281479F-6427-4DE2-BB01-D81D39C94CEA}">
      <text>
        <r>
          <rPr>
            <sz val="9"/>
            <color indexed="81"/>
            <rFont val="Tahoma"/>
            <family val="2"/>
          </rPr>
          <t>Write lock: "factory_register_lock_wr"_x000D_
Read lock: "customer_register_lock_rd"</t>
        </r>
      </text>
    </comment>
    <comment ref="K91" authorId="0" shapeId="0" xr:uid="{BC32F814-3625-4CC9-9B73-E2209FD866F8}">
      <text>
        <r>
          <rPr>
            <sz val="9"/>
            <color indexed="81"/>
            <rFont val="Tahoma"/>
            <family val="2"/>
          </rPr>
          <t>Field Name: rrl_clock_delay_x000D_
Access Mode:RW_x000D_
Description:RRL clock delay trimming._x000D_
When RRL used for test, nominal delay value is d17._x000D_
When RRL used for chopper, nominal delay value is d14._x000D_
 {hdl_path rrl_clock_delay_q}</t>
        </r>
      </text>
    </comment>
    <comment ref="Q91" authorId="0" shapeId="0" xr:uid="{1EFBBD11-3BA0-4701-8473-0DD8768E8B2F}">
      <text>
        <r>
          <rPr>
            <sz val="9"/>
            <color indexed="81"/>
            <rFont val="Tahoma"/>
            <family val="2"/>
          </rPr>
          <t>Field Name: vo2_tc_x000D_
Access Mode:RW_x000D_
Description:V2 offset TC (two's complement from -512 to +511)._x000D_
 {hdl_path vo2_tc_q}</t>
        </r>
      </text>
    </comment>
    <comment ref="AA91" authorId="0" shapeId="0" xr:uid="{F289E218-4D95-4882-806B-1CD4D82F1805}">
      <text>
        <r>
          <rPr>
            <sz val="9"/>
            <color indexed="81"/>
            <rFont val="Tahoma"/>
            <family val="2"/>
          </rPr>
          <t>Field Name: vo2_room_x000D_
Access Mode:RW_x000D_
Description:V2 offset at 25?C (two's complement from -512 to +511)._x000D_
 {hdl_path vo2_room_q}</t>
        </r>
      </text>
    </comment>
    <comment ref="C93" authorId="0" shapeId="0" xr:uid="{CA8620F2-9885-4743-94B6-807CE4051CCB}">
      <text>
        <r>
          <rPr>
            <sz val="9"/>
            <color indexed="81"/>
            <rFont val="Tahoma"/>
            <family val="2"/>
          </rPr>
          <t>Write lock: "factory_register_lock_wr"_x000D_
Read lock: "customer_register_lock_rd"</t>
        </r>
      </text>
    </comment>
    <comment ref="S93" authorId="0" shapeId="0" xr:uid="{72744909-F706-4FEA-B37E-3C4A8019F9E5}">
      <text>
        <r>
          <rPr>
            <sz val="9"/>
            <color indexed="81"/>
            <rFont val="Tahoma"/>
            <family val="2"/>
          </rPr>
          <t>Field Name: a1_tc_x000D_
Access Mode:RW_x000D_
Description:A1 gain TC (two's complement from -128 to +127). If no compensation is required, set it to 0._x000D_
 {hdl_path a1_tc_q}</t>
        </r>
      </text>
    </comment>
    <comment ref="AB93" authorId="0" shapeId="0" xr:uid="{D3708D61-C822-451B-8C2B-458EEBDA8AB4}">
      <text>
        <r>
          <rPr>
            <sz val="9"/>
            <color indexed="81"/>
            <rFont val="Tahoma"/>
            <family val="2"/>
          </rPr>
          <t>Field Name: a1_room_x000D_
Access Mode:RW_x000D_
Description:A1 gain at 25?C (two's complement from -512 to +511). If no compensation is required, set it to +256._x000D_
 {hdl_path a1_room_q}</t>
        </r>
      </text>
    </comment>
    <comment ref="C95" authorId="0" shapeId="0" xr:uid="{5A38731E-69D2-47D8-A85F-A5392A186D39}">
      <text>
        <r>
          <rPr>
            <sz val="9"/>
            <color indexed="81"/>
            <rFont val="Tahoma"/>
            <family val="2"/>
          </rPr>
          <t>Write lock: "factory_register_lock_wr"_x000D_
Read lock: "customer_register_lock_rd"</t>
        </r>
      </text>
    </comment>
    <comment ref="K95" authorId="0" shapeId="0" xr:uid="{8488AD82-31C5-4508-9B01-E6DE1A9A7097}">
      <text>
        <r>
          <rPr>
            <sz val="9"/>
            <color indexed="81"/>
            <rFont val="Tahoma"/>
            <family val="2"/>
          </rPr>
          <t>Field Name: sh_fill_me_c_x000D_
Access Mode:RW_x000D_
Description:Reserved as spare._x000D_
 {hdl_path sh_fill_me_c_q}</t>
        </r>
      </text>
    </comment>
    <comment ref="L95" authorId="0" shapeId="0" xr:uid="{FCC095FD-3C63-4B15-AAEF-8860A968EE3D}">
      <text>
        <r>
          <rPr>
            <sz val="9"/>
            <color indexed="81"/>
            <rFont val="Tahoma"/>
            <family val="2"/>
          </rPr>
          <t>Field Name: vtmr_room_x000D_
Access Mode:RW_x000D_
Description:VTMR DAC value at 25?C (unsigned, from 0 to +127)._x000D_
'0000000': min val 0.5V._x000D_
'0000000': max val 2.0V._x000D_
LSB step = 11.71875 mV._x000D_
 {hdl_path vtmr_room_q}</t>
        </r>
      </text>
    </comment>
    <comment ref="S95" authorId="0" shapeId="0" xr:uid="{F34AB809-82A4-43E5-A543-30CF0B9B57E0}">
      <text>
        <r>
          <rPr>
            <sz val="9"/>
            <color indexed="81"/>
            <rFont val="Tahoma"/>
            <family val="2"/>
          </rPr>
          <t>Field Name: a2_tc_x000D_
Access Mode:RW_x000D_
Description:A2 gain TC (two's complement from -128 to +127). If no compensation is required, set it to 0._x000D_
 {hdl_path a2_tc_q}</t>
        </r>
      </text>
    </comment>
    <comment ref="AB95" authorId="0" shapeId="0" xr:uid="{A97111DF-17F0-4085-9EF0-5229BFF72EAF}">
      <text>
        <r>
          <rPr>
            <sz val="9"/>
            <color indexed="81"/>
            <rFont val="Tahoma"/>
            <family val="2"/>
          </rPr>
          <t>Field Name: a2_room_x000D_
Access Mode:RW_x000D_
Description:A2 gain at 25?C (two's complement from -512 to +511). If no compensation is required, set it to +256._x000D_
 {hdl_path a2_room_q}</t>
        </r>
      </text>
    </comment>
    <comment ref="C97" authorId="0" shapeId="0" xr:uid="{E24C924A-FDBA-4394-9189-85DE51FF02A7}">
      <text>
        <r>
          <rPr>
            <sz val="9"/>
            <color indexed="81"/>
            <rFont val="Tahoma"/>
            <family val="2"/>
          </rPr>
          <t>Write lock: "factory_register_lock_wr"_x000D_
Read lock: "customer_register_lock_rd"</t>
        </r>
      </text>
    </comment>
    <comment ref="K97" authorId="0" shapeId="0" xr:uid="{72E49A72-F9A8-4692-BED3-6F9B1C7A4EA8}">
      <text>
        <r>
          <rPr>
            <sz val="9"/>
            <color indexed="81"/>
            <rFont val="Tahoma"/>
            <family val="2"/>
          </rPr>
          <t>Field Name: vtmr_tc_h_x000D_
Access Mode:RW_x000D_
Description:VTMR TC slope above slope change point (unsigned from 0 to +1023)._x000D_
 {hdl_path vtmr_tc_h_q}</t>
        </r>
      </text>
    </comment>
    <comment ref="U97" authorId="0" shapeId="0" xr:uid="{AC7D4498-269E-4D19-9F9A-E2A2A54B805E}">
      <text>
        <r>
          <rPr>
            <sz val="9"/>
            <color indexed="81"/>
            <rFont val="Tahoma"/>
            <family val="2"/>
          </rPr>
          <t>Field Name: vtmr_tc_l_x000D_
Access Mode:RW_x000D_
Description:VTMR TC slope above slope change point (unsigned from 0 to +1023)._x000D_
 {hdl_path vtmr_tc_l_q}</t>
        </r>
      </text>
    </comment>
    <comment ref="AE97" authorId="0" shapeId="0" xr:uid="{A5E96E84-81B5-4051-82EA-AFAB1817D098}">
      <text>
        <r>
          <rPr>
            <sz val="9"/>
            <color indexed="81"/>
            <rFont val="Tahoma"/>
            <family val="2"/>
          </rPr>
          <t>Field Name: vtmr_tinf_x000D_
Access Mode:RW_x000D_
Description:VTMR slope change temperature point._x000D_
 {hdl_path vtmr_tinf_q}</t>
        </r>
      </text>
    </comment>
    <comment ref="C99" authorId="0" shapeId="0" xr:uid="{3182AE27-BEEA-4C44-9DEC-066C1EB024DF}">
      <text>
        <r>
          <rPr>
            <sz val="9"/>
            <color indexed="81"/>
            <rFont val="Tahoma"/>
            <family val="2"/>
          </rPr>
          <t>Write lock: "factory_register_lock_wr"_x000D_
Read lock: "customer_register_lock_rd"</t>
        </r>
      </text>
    </comment>
    <comment ref="K99" authorId="0" shapeId="0" xr:uid="{16907AEB-7B25-49C1-981C-AF7B09836F81}">
      <text>
        <r>
          <rPr>
            <sz val="9"/>
            <color indexed="81"/>
            <rFont val="Tahoma"/>
            <family val="2"/>
          </rPr>
          <t>Field Name: kd_int_x000D_
Access Mode:RW_x000D_
Description:KD coefficient, integer part._x000D_
 {hdl_path kd_int_q}</t>
        </r>
      </text>
    </comment>
    <comment ref="L99" authorId="0" shapeId="0" xr:uid="{8B1A1BD1-333B-4277-9CD4-89AF7CC96A05}">
      <text>
        <r>
          <rPr>
            <sz val="9"/>
            <color indexed="81"/>
            <rFont val="Tahoma"/>
            <family val="2"/>
          </rPr>
          <t>Field Name: kd_frac_x000D_
Access Mode:RW_x000D_
Description:KD coefficient, fractional part (two's complement from -1024 to +1023)._x000D_
 {hdl_path kd_frac_q}</t>
        </r>
      </text>
    </comment>
    <comment ref="W99" authorId="0" shapeId="0" xr:uid="{0EB76F79-C40E-4AF8-B7DD-33678DF0364E}">
      <text>
        <r>
          <rPr>
            <sz val="9"/>
            <color indexed="81"/>
            <rFont val="Tahoma"/>
            <family val="2"/>
          </rPr>
          <t>Field Name: delta_d_x000D_
Access Mode:RW_x000D_
Description:Delta_d coefficient  (two's complement from -8192 to +8191)._x000D_
 {hdl_path delta_d_q}</t>
        </r>
      </text>
    </comment>
    <comment ref="C101" authorId="0" shapeId="0" xr:uid="{F713815D-1795-4987-9A2A-B7C5E013B508}">
      <text>
        <r>
          <rPr>
            <sz val="9"/>
            <color indexed="81"/>
            <rFont val="Tahoma"/>
            <family val="2"/>
          </rPr>
          <t>Write lock: "factory_register_lock_wr"_x000D_
Read lock: "customer_register_lock_rd"</t>
        </r>
      </text>
    </comment>
    <comment ref="K101" authorId="0" shapeId="0" xr:uid="{AD663CEA-9A64-4E6B-A8D8-9668781C5609}">
      <text>
        <r>
          <rPr>
            <sz val="9"/>
            <color indexed="81"/>
            <rFont val="Tahoma"/>
            <family val="2"/>
          </rPr>
          <t>Field Name: sh_fill_me_f_x000D_
Access Mode:RW_x000D_
Description:Reserved as spare._x000D_
 {hdl_path sh_fill_me_f_q}</t>
        </r>
      </text>
    </comment>
    <comment ref="M101" authorId="0" shapeId="0" xr:uid="{6C9A0BAD-CC84-4CFB-8B6F-E1F89D3FE82E}">
      <text>
        <r>
          <rPr>
            <sz val="9"/>
            <color indexed="81"/>
            <rFont val="Tahoma"/>
            <family val="2"/>
          </rPr>
          <t>Field Name: v1_m_v2_thr_h_x000D_
Access Mode:RW_x000D_
Description:v1 - v2 threshold high (steps of 64 LSBs)._x000D_
 {hdl_path v1_m_v2_thr_h_q}</t>
        </r>
      </text>
    </comment>
    <comment ref="S101" authorId="0" shapeId="0" xr:uid="{DBA80A93-1703-421F-962E-3E05F50AFE28}">
      <text>
        <r>
          <rPr>
            <sz val="9"/>
            <color indexed="81"/>
            <rFont val="Tahoma"/>
            <family val="2"/>
          </rPr>
          <t>Field Name: v1_m_v2_thr_l_x000D_
Access Mode:RW_x000D_
Description:v1 - v2 threshold low (steps of 1024 LSBs)._x000D_
 {hdl_path v1_m_v2_thr_l_q}</t>
        </r>
      </text>
    </comment>
    <comment ref="Y101" authorId="0" shapeId="0" xr:uid="{9FFB47F2-D12A-4480-BE62-95F4D093B035}">
      <text>
        <r>
          <rPr>
            <sz val="9"/>
            <color indexed="81"/>
            <rFont val="Tahoma"/>
            <family val="2"/>
          </rPr>
          <t>Field Name: v1_div_v2_thr_h_x000D_
Access Mode:RW_x000D_
Description:v1_sec / v2_sec threshold high (steps of 512 LSBs)._x000D_
 {hdl_path v1_div_v2_thr_h_q}</t>
        </r>
      </text>
    </comment>
    <comment ref="AE101" authorId="0" shapeId="0" xr:uid="{BE9655D9-466E-41DC-99E5-6BEB500DED3F}">
      <text>
        <r>
          <rPr>
            <sz val="9"/>
            <color indexed="81"/>
            <rFont val="Tahoma"/>
            <family val="2"/>
          </rPr>
          <t>Field Name: v1_div_v2_thr_l_x000D_
Access Mode:RW_x000D_
Description:v1_sec / v2_sec threshold low (steps of 1024 LSBs)._x000D_
 {hdl_path v1_div_v2_thr_l_q}</t>
        </r>
      </text>
    </comment>
    <comment ref="C103" authorId="0" shapeId="0" xr:uid="{1C41EE05-A93D-4DEF-9792-BD126A5A3EC0}">
      <text>
        <r>
          <rPr>
            <sz val="9"/>
            <color indexed="81"/>
            <rFont val="Tahoma"/>
            <family val="2"/>
          </rPr>
          <t>Write lock: "customer_register_lock_wr"_x000D_
Read lock: "customer_register_lock_rd"</t>
        </r>
      </text>
    </comment>
    <comment ref="K103" authorId="0" shapeId="0" xr:uid="{DE6D1CEF-7D02-4899-83A1-79C869E28DA1}">
      <text>
        <r>
          <rPr>
            <sz val="9"/>
            <color indexed="81"/>
            <rFont val="Tahoma"/>
            <family val="2"/>
          </rPr>
          <t>Field Name: sh_fill_me_10_x000D_
Access Mode:RW_x000D_
Description:Reseved as spare._x000D_
 {hdl_path sh_fill_me_10_q}</t>
        </r>
      </text>
    </comment>
    <comment ref="M103" authorId="0" shapeId="0" xr:uid="{CB5BD9E9-DC02-4EC3-846D-3384F3EB2AA0}">
      <text>
        <r>
          <rPr>
            <sz val="9"/>
            <color indexed="81"/>
            <rFont val="Tahoma"/>
            <family val="2"/>
          </rPr>
          <t>Field Name: sent_scn_config_x000D_
Access Mode:RW_x000D_
Description:0:  SCN[3:2] = SENT slow serial message._x000D_
1:  SCN[3:2] = All zeros._x000D_
2:  SCN[3:2] = Device ID, SCN[3] = ID[1] and SCN[2] = ID[0]._x000D_
3:  SCN[3:2] = SENT slow serial message (same as option 0)._x000D_
 {hdl_path sent_scn_config_q}</t>
        </r>
      </text>
    </comment>
    <comment ref="O103" authorId="0" shapeId="0" xr:uid="{1D047763-2BBA-4926-9935-19B3269398B1}">
      <text>
        <r>
          <rPr>
            <sz val="9"/>
            <color indexed="81"/>
            <rFont val="Tahoma"/>
            <family val="2"/>
          </rPr>
          <t>Field Name: sent_data_config_x000D_
Access Mode:RW_x000D_
Description:Number and format of data nibbles in SENT frame. _x000D_
 {hdl_path sent_data_config_q}</t>
        </r>
      </text>
    </comment>
    <comment ref="R103" authorId="0" shapeId="0" xr:uid="{DC62F097-30FA-4013-A68F-3294084A0251}">
      <text>
        <r>
          <rPr>
            <sz val="9"/>
            <color indexed="81"/>
            <rFont val="Tahoma"/>
            <family val="2"/>
          </rPr>
          <t>Field Name: sent_splmin_adjust_x000D_
Access Mode:RW_x000D_
Description:Function Pulse Adjust. Only for SSENT-Long. Increases the lower threshold of F_OUTPUT pulse:_x000D_
00: No change to F_OUTPUT pulse width. Minimum width = 7 Ticks._x000D_
01: Minimum width of F_OUTPUT increased by 1 Tick. Min = 8 Ticks._x000D_
10: Minimum width of F_OUTPUT increased by 2 Ticks. Min = 9 Ticks._x000D_
11: Minimum width of F_OUTPUT increased by 3 Ticks. Min = 10 Ticks._x000D_
 {hdl_path sent_splmin_adjust_q}</t>
        </r>
      </text>
    </comment>
    <comment ref="T103" authorId="0" shapeId="0" xr:uid="{6F804BB5-4776-46BF-A2CA-13C5489F3A90}">
      <text>
        <r>
          <rPr>
            <sz val="9"/>
            <color indexed="81"/>
            <rFont val="Tahoma"/>
            <family val="2"/>
          </rPr>
          <t>Field Name: sent_slot_marking_x000D_
Access Mode:RW_x000D_
Description:When '1', In SSENT, slot marking times applied prior to start of frame._x000D_
 {hdl_path sent_slot_marking_q}</t>
        </r>
      </text>
    </comment>
    <comment ref="U103" authorId="0" shapeId="0" xr:uid="{0018182D-DA75-4338-A923-B7525A8877C7}">
      <text>
        <r>
          <rPr>
            <sz val="9"/>
            <color indexed="81"/>
            <rFont val="Tahoma"/>
            <family val="2"/>
          </rPr>
          <t>Field Name: sent_slot_sync_x000D_
Access Mode:RW_x000D_
Description:When '1', In SSENT+slot_marking, uses slot_marking output pulse from other devices to sync slot counter._x000D_
 {hdl_path sent_slot_sync_q}</t>
        </r>
      </text>
    </comment>
    <comment ref="V103" authorId="0" shapeId="0" xr:uid="{BB872E81-038D-42B1-95C0-51552CB4C181}">
      <text>
        <r>
          <rPr>
            <sz val="9"/>
            <color indexed="81"/>
            <rFont val="Tahoma"/>
            <family val="2"/>
          </rPr>
          <t>Field Name: sent_por_offline_x000D_
Access Mode:RW_x000D_
Description:When '1', sensor will be in OFFLINE mode following a POR._x000D_
 {hdl_path sent_por_offline_q}</t>
        </r>
      </text>
    </comment>
    <comment ref="W103" authorId="0" shapeId="0" xr:uid="{91211F37-562D-4505-917E-178E612D965B}">
      <text>
        <r>
          <rPr>
            <sz val="9"/>
            <color indexed="81"/>
            <rFont val="Tahoma"/>
            <family val="2"/>
          </rPr>
          <t>Field Name: sent_idle_sync_x000D_
Access Mode:RW_x000D_
Description:When '1', In SSENT, bus idle time &gt; 510 ticks will act as F_SYNC._x000D_
 {hdl_path sent_idle_sync_q}</t>
        </r>
      </text>
    </comment>
    <comment ref="X103" authorId="0" shapeId="0" xr:uid="{D99058BF-F56F-4E99-977E-02ED3176B824}">
      <text>
        <r>
          <rPr>
            <sz val="9"/>
            <color indexed="81"/>
            <rFont val="Tahoma"/>
            <family val="2"/>
          </rPr>
          <t>Field Name: sent_fsample_adr_x000D_
Access Mode:RW_x000D_
Description:When '1', F_SAMPLE is addressing + sample_and_hold request._x000D_
 {hdl_path sent_fsample_adr_q}</t>
        </r>
      </text>
    </comment>
    <comment ref="Y103" authorId="0" shapeId="0" xr:uid="{4546A428-D154-4002-BB17-24CFE7250BD1}">
      <text>
        <r>
          <rPr>
            <sz val="9"/>
            <color indexed="81"/>
            <rFont val="Tahoma"/>
            <family val="2"/>
          </rPr>
          <t>Field Name: sent_zero_sample_x000D_
Access Mode:RW_x000D_
Description:When '1', In SSENT, sample_and_hold requested when slot_cntr=0._x000D_
 {hdl_path sent_zero_sample_q}</t>
        </r>
      </text>
    </comment>
    <comment ref="Z103" authorId="0" shapeId="0" xr:uid="{F3EAB0D1-0E78-441F-97F9-B734D0D756C1}">
      <text>
        <r>
          <rPr>
            <sz val="9"/>
            <color indexed="81"/>
            <rFont val="Tahoma"/>
            <family val="2"/>
          </rPr>
          <t>Field Name: sent_no_fsample_x000D_
Access Mode:RW_x000D_
Description:When '1', F_SAMPLE will not create a sample_and_hold request._x000D_
 {hdl_path sent_no_fsample_q}</t>
        </r>
      </text>
    </comment>
    <comment ref="AA103" authorId="0" shapeId="0" xr:uid="{4A4FDAE7-0B80-407A-9FAC-6E98AA78E1A3}">
      <text>
        <r>
          <rPr>
            <sz val="9"/>
            <color indexed="81"/>
            <rFont val="Tahoma"/>
            <family val="2"/>
          </rPr>
          <t>Field Name: sent_device_id_x000D_
Access Mode:RW_x000D_
Description:Device ID for SSENT and ASENT. Also for Manchester communication._x000D_
 {hdl_path sent_device_id_q}</t>
        </r>
      </text>
    </comment>
    <comment ref="AC103" authorId="0" shapeId="0" xr:uid="{75C779BC-96E9-4BA4-B979-54F6588ECD31}">
      <text>
        <r>
          <rPr>
            <sz val="9"/>
            <color indexed="81"/>
            <rFont val="Tahoma"/>
            <family val="2"/>
          </rPr>
          <t>Field Name: sent_max_devices_x000D_
Access Mode:RW_x000D_
Description:Highest device number on the bus for SSENT._x000D_
 {hdl_path sent_max_devices_q}</t>
        </r>
      </text>
    </comment>
    <comment ref="AE103" authorId="0" shapeId="0" xr:uid="{84387D1D-3EA3-4C0E-973D-A6FF5E0456ED}">
      <text>
        <r>
          <rPr>
            <sz val="9"/>
            <color indexed="81"/>
            <rFont val="Tahoma"/>
            <family val="2"/>
          </rPr>
          <t>Field Name: sent_aux_adr_x000D_
Access Mode:RW_x000D_
Description:F_AUX addressing mode._x000D_
0: F_AUX is broadcast._x000D_
1: F_AUX is addressing._x000D_
 {hdl_path sent_aux_adr_q}</t>
        </r>
      </text>
    </comment>
    <comment ref="AF103" authorId="0" shapeId="0" xr:uid="{96F44D22-411A-47B1-BC4D-B93FFBA88418}">
      <text>
        <r>
          <rPr>
            <sz val="9"/>
            <color indexed="81"/>
            <rFont val="Tahoma"/>
            <family val="2"/>
          </rPr>
          <t>Field Name: sent_crc_scn_x000D_
Access Mode:RW_x000D_
Description:When '1', SCN nibble is used to calculate CRC along with data nibbles._x000D_
 {hdl_path sent_crc_scn_q}</t>
        </r>
      </text>
    </comment>
    <comment ref="AG103" authorId="0" shapeId="0" xr:uid="{F4CD4BC7-88BF-4C4E-8718-68F6C4631BDB}">
      <text>
        <r>
          <rPr>
            <sz val="9"/>
            <color indexed="81"/>
            <rFont val="Tahoma"/>
            <family val="2"/>
          </rPr>
          <t>Field Name: sent_no_smsg_x000D_
Access Mode:RW_x000D_
Description:0: Only bits [1:0] of the Status Nibble are writable by scn_data[1:0] input, bits [3:2] of the Status Nibble are used for short serial message._x000D_
1: Suppress short serial message, the scn_data[3:0] input writes the complete Status Nibble._x000D_
 {hdl_path sent_no_smsg_q}</t>
        </r>
      </text>
    </comment>
    <comment ref="AH103" authorId="0" shapeId="0" xr:uid="{9A36F4C8-602A-4568-8252-ADEA79312967}">
      <text>
        <r>
          <rPr>
            <sz val="9"/>
            <color indexed="81"/>
            <rFont val="Tahoma"/>
            <family val="2"/>
          </rPr>
          <t>Field Name: sent_output_mode_x000D_
Access Mode:RW_x000D_
Description:Output mode:_x000D_
0: SENT_x000D_
1: SENT - Paused_x000D_
2: ISENT_x000D_
3: TSENT - SCN_x000D_
4: TSENT - Falling_x000D_
5: SSENT - Short_x000D_
6: SSENT - Long_x000D_
7: ASENT_x000D_
 {hdl_path sent_output_mode_q}</t>
        </r>
      </text>
    </comment>
    <comment ref="C105" authorId="0" shapeId="0" xr:uid="{D818533C-6CB0-4535-9914-BC8BFE399014}">
      <text>
        <r>
          <rPr>
            <sz val="9"/>
            <color indexed="81"/>
            <rFont val="Tahoma"/>
            <family val="2"/>
          </rPr>
          <t>Write lock: "customer_register_lock_wr"_x000D_
Read lock: "customer_register_lock_rd"</t>
        </r>
      </text>
    </comment>
    <comment ref="AB105" authorId="0" shapeId="0" xr:uid="{4376A1CD-A898-4169-B293-F299B423E4DA}">
      <text>
        <r>
          <rPr>
            <sz val="9"/>
            <color indexed="81"/>
            <rFont val="Tahoma"/>
            <family val="2"/>
          </rPr>
          <t>Field Name: sent_trg_config_x000D_
Access Mode:RW_x000D_
Description:SENT minimum low time for recognize a valid TSENT trigger pulse or a valid ASENT incaddr pulse._x000D_
0: 2.5us_x000D_
1: 5us_x000D_
2: 10us_x000D_
3: 0.5us_x000D_
 {hdl_path sent_trg_config_q}</t>
        </r>
      </text>
    </comment>
    <comment ref="AD105" authorId="0" shapeId="0" xr:uid="{585A91CA-7F04-416C-ABA9-2916365070FA}">
      <text>
        <r>
          <rPr>
            <sz val="9"/>
            <color indexed="81"/>
            <rFont val="Tahoma"/>
            <family val="2"/>
          </rPr>
          <t>Field Name: sent_tick_time_x000D_
Access Mode:RW_x000D_
Description:SENT tick time selection (from 1 to 127, 0 yields an invalid frame)._x000D_
From 122ns (sent_tick_time=1)._x000D_
To 15.5us (sent_tick_time=127)._x000D_
Step: 1LSB = 122ns._x000D_
 {hdl_path sent_tick_time_q}</t>
        </r>
      </text>
    </comment>
    <comment ref="C107" authorId="0" shapeId="0" xr:uid="{47797EC8-2B2A-4CC9-B0C0-293B8E71C5CC}">
      <text>
        <r>
          <rPr>
            <sz val="9"/>
            <color indexed="81"/>
            <rFont val="Tahoma"/>
            <family val="2"/>
          </rPr>
          <t>Write lock: "customer_register_lock_wr"_x000D_
Read lock: "customer_register_lock_rd"</t>
        </r>
      </text>
    </comment>
    <comment ref="AB107" authorId="0" shapeId="0" xr:uid="{A4B8EE27-B9CA-47DA-BF17-6897D434918F}">
      <text>
        <r>
          <rPr>
            <sz val="9"/>
            <color indexed="81"/>
            <rFont val="Tahoma"/>
            <family val="2"/>
          </rPr>
          <t>Field Name: outdrv_sel_x000D_
Access Mode:RW_x000D_
Description:Adjust output driving for fall time control._x000D_
'000': Output fall time is 0.05 usec._x000D_
'001': Output fall time is 0.1 usec._x000D_
'010': Output fall time is 0.2 usec._x000D_
'011': Output fall time is 0.3 usec._x000D_
'100': Output fall time is 0.8 usec._x000D_
'101': Output fall time is 1.5 usec._x000D_
'110': Output fall time is 3.2 usec._x000D_
'111': Output fall time is 5.0 usec._x000D_
 {hdl_path outdrv_sel_q}</t>
        </r>
      </text>
    </comment>
    <comment ref="AE107" authorId="0" shapeId="0" xr:uid="{01DDA9B6-3080-490D-A5D0-1E4ECF69DE4D}">
      <text>
        <r>
          <rPr>
            <sz val="9"/>
            <color indexed="81"/>
            <rFont val="Tahoma"/>
            <family val="2"/>
          </rPr>
          <t>Field Name: pwm1_sent0_x000D_
Access Mode:RW_x000D_
Description:When '1', PWM is enabled, when '0' SENT is enabled._x000D_
 {hdl_path pwm1_sent0_q}</t>
        </r>
      </text>
    </comment>
    <comment ref="AF107" authorId="0" shapeId="0" xr:uid="{885AC611-66CA-4D76-ABA3-6C7BA5524E91}">
      <text>
        <r>
          <rPr>
            <sz val="9"/>
            <color indexed="81"/>
            <rFont val="Tahoma"/>
            <family val="2"/>
          </rPr>
          <t>Field Name: pwm_cmd_trigger_cfg_x000D_
Access Mode:RW_x000D_
Description:When '1', command triggers every time the condition is met._x000D_
When '0', command triggers after the host releases the pwm_out._x000D_
 {hdl_path pwm_cmd_trigger_cfg_q}</t>
        </r>
      </text>
    </comment>
    <comment ref="AG107" authorId="0" shapeId="0" xr:uid="{CBB0FEB2-3218-48DF-A2B4-FE7C260E785F}">
      <text>
        <r>
          <rPr>
            <sz val="9"/>
            <color indexed="81"/>
            <rFont val="Tahoma"/>
            <family val="2"/>
          </rPr>
          <t>Field Name: pwm_period_sel_x000D_
Access Mode:RW_x000D_
Description:PWM active period selection._x000D_
'0000': 128000 system clocks (7812.5us - 0.128KHz - Resolution 15 bits)._x000D_
'0001': 96000 system clocks (5859.375us - 0.170KHz - Resolution 15 bits)._x000D_
'0010': 64000 system clocks (3906.25us - 0.256KHz - Resolution 14 bits)._x000D_
'0011': 48000 system clocks (2929.6875us - 0.341KHz - Resolution 14 bits)._x000D_
'0100': 32000 system clocks (1953.125us - 0.512KHz - Resolution 13 bits)._x000D_
'0101': 24000 system clocks (1464.844us - 0.683KHz - Resolution 13 bits)._x000D_
'0110': 20000 system clocks (1220.703us - 0.819KHz - Resolution 13 bits)._x000D_
'0111': 16000 system clocks (976.5625us - 1.024KHz - Resolution 12 bits)._x000D_
'1000': 12000 system clocks (732.4219us - 1.365KHz - Resolution 12 bits)._x000D_
'1001': 10000 system clocks (610.3516us - 1.638KHz - Resolution 12 bits)._x000D_
'1010': 8000 system clocks (488.2813us - 2.048KHz - Resolution 11 bits)._x000D_
'1011': 6000 system clocks (366.2109us - 2.731KHz - Resolution 11 bits)._x000D_
'1100': 4000 system clocks (244.1406us - 4.096KHz - Resolution 10 bits)._x000D_
'1101': 3000 system clocks (183.1055us - 5.461KHz - Resolution 10 bits)._x000D_
'1110': 2000 system clocks (122.0703us - 8.192KHz - Resolution 9 bits)._x000D_
'1111': 1000 system clocks (61.0352us - 16384KHz - Resolution 8 bits)._x000D_
 {hdl_path pwm_period_sel_q}</t>
        </r>
      </text>
    </comment>
    <comment ref="C109" authorId="0" shapeId="0" xr:uid="{F28B83F2-47B7-4778-8876-65DF322F0479}">
      <text>
        <r>
          <rPr>
            <sz val="9"/>
            <color indexed="81"/>
            <rFont val="Tahoma"/>
            <family val="2"/>
          </rPr>
          <t>Write lock: "customer_register_lock_wr"_x000D_
Read lock: "customer_register_lock_rd"</t>
        </r>
      </text>
    </comment>
    <comment ref="K109" authorId="0" shapeId="0" xr:uid="{6CAF394A-5E35-45F0-BB14-E700DEB7347A}">
      <text>
        <r>
          <rPr>
            <sz val="9"/>
            <color indexed="81"/>
            <rFont val="Tahoma"/>
            <family val="2"/>
          </rPr>
          <t>Field Name: lin01_x000D_
Access Mode:RW_x000D_
Description:Linearization table entry 1._x000D_
 {hdl_path lin01_q}</t>
        </r>
      </text>
    </comment>
    <comment ref="X109" authorId="0" shapeId="0" xr:uid="{867016A4-8F12-4CB0-BE3F-4DDF179E4070}">
      <text>
        <r>
          <rPr>
            <sz val="9"/>
            <color indexed="81"/>
            <rFont val="Tahoma"/>
            <family val="2"/>
          </rPr>
          <t>Field Name: lin00_x000D_
Access Mode:RW_x000D_
Description:Linearization table entry 0._x000D_
 {hdl_path lin00_q}</t>
        </r>
      </text>
    </comment>
    <comment ref="C111" authorId="0" shapeId="0" xr:uid="{C348B41C-3A49-4FC5-A940-BF8BF0AA9B66}">
      <text>
        <r>
          <rPr>
            <sz val="9"/>
            <color indexed="81"/>
            <rFont val="Tahoma"/>
            <family val="2"/>
          </rPr>
          <t>Write lock: "customer_register_lock_wr"_x000D_
Read lock: "customer_register_lock_rd"</t>
        </r>
      </text>
    </comment>
    <comment ref="K111" authorId="0" shapeId="0" xr:uid="{F6AAF145-5715-4370-9134-3F40ED08F58D}">
      <text>
        <r>
          <rPr>
            <sz val="9"/>
            <color indexed="81"/>
            <rFont val="Tahoma"/>
            <family val="2"/>
          </rPr>
          <t>Field Name: lin03_x000D_
Access Mode:RW_x000D_
Description:Linearization table entry 3._x000D_
 {hdl_path lin03_q}</t>
        </r>
      </text>
    </comment>
    <comment ref="X111" authorId="0" shapeId="0" xr:uid="{DE43A396-6CF4-47F9-8CDA-B85E32459B66}">
      <text>
        <r>
          <rPr>
            <sz val="9"/>
            <color indexed="81"/>
            <rFont val="Tahoma"/>
            <family val="2"/>
          </rPr>
          <t>Field Name: lin02_x000D_
Access Mode:RW_x000D_
Description:Linearization table entry 2._x000D_
 {hdl_path lin02_q}</t>
        </r>
      </text>
    </comment>
    <comment ref="C113" authorId="0" shapeId="0" xr:uid="{54155DD7-02C0-4FD7-BE21-665F1DCCFB91}">
      <text>
        <r>
          <rPr>
            <sz val="9"/>
            <color indexed="81"/>
            <rFont val="Tahoma"/>
            <family val="2"/>
          </rPr>
          <t>Write lock: "customer_register_lock_wr"_x000D_
Read lock: "customer_register_lock_rd"</t>
        </r>
      </text>
    </comment>
    <comment ref="K113" authorId="0" shapeId="0" xr:uid="{35D67D10-9A16-44F2-8BD0-50E2A686A66C}">
      <text>
        <r>
          <rPr>
            <sz val="9"/>
            <color indexed="81"/>
            <rFont val="Tahoma"/>
            <family val="2"/>
          </rPr>
          <t>Field Name: lin05_x000D_
Access Mode:RW_x000D_
Description:Linearization table entry 5._x000D_
 {hdl_path lin05_q}</t>
        </r>
      </text>
    </comment>
    <comment ref="X113" authorId="0" shapeId="0" xr:uid="{C2D1FE12-F09B-47BC-8E5E-CA133E5E3D23}">
      <text>
        <r>
          <rPr>
            <sz val="9"/>
            <color indexed="81"/>
            <rFont val="Tahoma"/>
            <family val="2"/>
          </rPr>
          <t>Field Name: lin04_x000D_
Access Mode:RW_x000D_
Description:Linearization table entry 4._x000D_
 {hdl_path lin04_q}</t>
        </r>
      </text>
    </comment>
    <comment ref="C115" authorId="0" shapeId="0" xr:uid="{9DF5DFEA-4369-4204-8E0C-A4518FCB08AF}">
      <text>
        <r>
          <rPr>
            <sz val="9"/>
            <color indexed="81"/>
            <rFont val="Tahoma"/>
            <family val="2"/>
          </rPr>
          <t>Write lock: "customer_register_lock_wr"_x000D_
Read lock: "customer_register_lock_rd"</t>
        </r>
      </text>
    </comment>
    <comment ref="K115" authorId="0" shapeId="0" xr:uid="{3C24C507-89BD-4AA1-9655-F98175DA1831}">
      <text>
        <r>
          <rPr>
            <sz val="9"/>
            <color indexed="81"/>
            <rFont val="Tahoma"/>
            <family val="2"/>
          </rPr>
          <t>Field Name: lin07_x000D_
Access Mode:RW_x000D_
Description:Linearization table entry 7._x000D_
 {hdl_path lin07_q}</t>
        </r>
      </text>
    </comment>
    <comment ref="X115" authorId="0" shapeId="0" xr:uid="{F6CACECC-FEE7-4599-9754-FE6943DC06CC}">
      <text>
        <r>
          <rPr>
            <sz val="9"/>
            <color indexed="81"/>
            <rFont val="Tahoma"/>
            <family val="2"/>
          </rPr>
          <t>Field Name: lin06_x000D_
Access Mode:RW_x000D_
Description:Linearization table entry 6._x000D_
 {hdl_path lin06_q}</t>
        </r>
      </text>
    </comment>
    <comment ref="C117" authorId="0" shapeId="0" xr:uid="{CE5F5E59-04FE-4897-8D15-13EE0B04B299}">
      <text>
        <r>
          <rPr>
            <sz val="9"/>
            <color indexed="81"/>
            <rFont val="Tahoma"/>
            <family val="2"/>
          </rPr>
          <t>Write lock: "customer_register_lock_wr"_x000D_
Read lock: "customer_register_lock_rd"</t>
        </r>
      </text>
    </comment>
    <comment ref="K117" authorId="0" shapeId="0" xr:uid="{85457C0A-F101-430F-8293-BAC85ADA6621}">
      <text>
        <r>
          <rPr>
            <sz val="9"/>
            <color indexed="81"/>
            <rFont val="Tahoma"/>
            <family val="2"/>
          </rPr>
          <t>Field Name: lin09_x000D_
Access Mode:RW_x000D_
Description:Linearization table entry 9._x000D_
 {hdl_path lin09_q}</t>
        </r>
      </text>
    </comment>
    <comment ref="X117" authorId="0" shapeId="0" xr:uid="{426A29DF-B0BE-4DF3-8EB8-EA43DE7DCF04}">
      <text>
        <r>
          <rPr>
            <sz val="9"/>
            <color indexed="81"/>
            <rFont val="Tahoma"/>
            <family val="2"/>
          </rPr>
          <t>Field Name: lin08_x000D_
Access Mode:RW_x000D_
Description:Linearization table entry 8._x000D_
 {hdl_path lin08_q}</t>
        </r>
      </text>
    </comment>
    <comment ref="C119" authorId="0" shapeId="0" xr:uid="{6934F1D9-1365-45A0-8DD2-45C56AEC805D}">
      <text>
        <r>
          <rPr>
            <sz val="9"/>
            <color indexed="81"/>
            <rFont val="Tahoma"/>
            <family val="2"/>
          </rPr>
          <t>Write lock: "customer_register_lock_wr"_x000D_
Read lock: "customer_register_lock_rd"</t>
        </r>
      </text>
    </comment>
    <comment ref="K119" authorId="0" shapeId="0" xr:uid="{4602D3FB-851B-47B7-8290-447AE9552698}">
      <text>
        <r>
          <rPr>
            <sz val="9"/>
            <color indexed="81"/>
            <rFont val="Tahoma"/>
            <family val="2"/>
          </rPr>
          <t>Field Name: lin11_x000D_
Access Mode:RW_x000D_
Description:Linearization table entry 11._x000D_
 {hdl_path lin11_q}</t>
        </r>
      </text>
    </comment>
    <comment ref="X119" authorId="0" shapeId="0" xr:uid="{0D22D3B6-1C96-436E-8830-DB93D5DF1159}">
      <text>
        <r>
          <rPr>
            <sz val="9"/>
            <color indexed="81"/>
            <rFont val="Tahoma"/>
            <family val="2"/>
          </rPr>
          <t>Field Name: lin10_x000D_
Access Mode:RW_x000D_
Description:Linearization table entry 10._x000D_
 {hdl_path lin10_q}</t>
        </r>
      </text>
    </comment>
    <comment ref="C121" authorId="0" shapeId="0" xr:uid="{BFF323DE-136F-467F-B79E-C3F49F8824D6}">
      <text>
        <r>
          <rPr>
            <sz val="9"/>
            <color indexed="81"/>
            <rFont val="Tahoma"/>
            <family val="2"/>
          </rPr>
          <t>Write lock: "customer_register_lock_wr"_x000D_
Read lock: "customer_register_lock_rd"</t>
        </r>
      </text>
    </comment>
    <comment ref="K121" authorId="0" shapeId="0" xr:uid="{C505DFF3-CD15-4F3C-8AA8-16A4C7D0F153}">
      <text>
        <r>
          <rPr>
            <sz val="9"/>
            <color indexed="81"/>
            <rFont val="Tahoma"/>
            <family val="2"/>
          </rPr>
          <t>Field Name: lin13_x000D_
Access Mode:RW_x000D_
Description:Linearization table entry 13._x000D_
 {hdl_path lin13_q}</t>
        </r>
      </text>
    </comment>
    <comment ref="X121" authorId="0" shapeId="0" xr:uid="{DB5504B7-63B8-48A8-9148-F60559A42175}">
      <text>
        <r>
          <rPr>
            <sz val="9"/>
            <color indexed="81"/>
            <rFont val="Tahoma"/>
            <family val="2"/>
          </rPr>
          <t>Field Name: lin12_x000D_
Access Mode:RW_x000D_
Description:Linearization table entry 12._x000D_
 {hdl_path lin12_q}</t>
        </r>
      </text>
    </comment>
    <comment ref="C123" authorId="0" shapeId="0" xr:uid="{195B1701-6EB3-4755-991D-39D82C974752}">
      <text>
        <r>
          <rPr>
            <sz val="9"/>
            <color indexed="81"/>
            <rFont val="Tahoma"/>
            <family val="2"/>
          </rPr>
          <t>Write lock: "customer_register_lock_wr"_x000D_
Read lock: "customer_register_lock_rd"</t>
        </r>
      </text>
    </comment>
    <comment ref="K123" authorId="0" shapeId="0" xr:uid="{E7B90857-4B83-4EC7-85D5-D2C004B2B422}">
      <text>
        <r>
          <rPr>
            <sz val="9"/>
            <color indexed="81"/>
            <rFont val="Tahoma"/>
            <family val="2"/>
          </rPr>
          <t>Field Name: lin15_x000D_
Access Mode:RW_x000D_
Description:Linearization table entry 15._x000D_
 {hdl_path lin15_q}</t>
        </r>
      </text>
    </comment>
    <comment ref="X123" authorId="0" shapeId="0" xr:uid="{48DBAB0E-C00C-40E0-A65B-5A43DC68A5FB}">
      <text>
        <r>
          <rPr>
            <sz val="9"/>
            <color indexed="81"/>
            <rFont val="Tahoma"/>
            <family val="2"/>
          </rPr>
          <t>Field Name: lin14_x000D_
Access Mode:RW_x000D_
Description:Linearization table entry 14._x000D_
 {hdl_path lin14_q}</t>
        </r>
      </text>
    </comment>
    <comment ref="C125" authorId="0" shapeId="0" xr:uid="{BA98D7E7-7EB1-4F0E-91E9-7A46B8E77373}">
      <text>
        <r>
          <rPr>
            <sz val="9"/>
            <color indexed="81"/>
            <rFont val="Tahoma"/>
            <family val="2"/>
          </rPr>
          <t>Write lock: "customer_register_lock_wr"_x000D_
Read lock: "customer_register_lock_rd"</t>
        </r>
      </text>
    </comment>
    <comment ref="K125" authorId="0" shapeId="0" xr:uid="{8EC9D228-5064-441E-A29B-00BDEA0561B4}">
      <text>
        <r>
          <rPr>
            <sz val="9"/>
            <color indexed="81"/>
            <rFont val="Tahoma"/>
            <family val="2"/>
          </rPr>
          <t>Field Name: sh_fill_me_1b_x000D_
Access Mode:RW_x000D_
Description:Reserved as spare._x000D_
 {hdl_path sh_fill_me_1b_q}</t>
        </r>
      </text>
    </comment>
    <comment ref="N125" authorId="0" shapeId="0" xr:uid="{5C38F628-A197-4B12-8531-72551F4E94FA}">
      <text>
        <r>
          <rPr>
            <sz val="9"/>
            <color indexed="81"/>
            <rFont val="Tahoma"/>
            <family val="2"/>
          </rPr>
          <t>Field Name: fhss_e_x000D_
Access Mode:RW_x000D_
Description:When '1', frequency hopping spread sprectrum is enabled._x000D_
 {hdl_path fhss_e_q}</t>
        </r>
      </text>
    </comment>
    <comment ref="O125" authorId="0" shapeId="0" xr:uid="{428DCBD5-AA1E-43AD-B0B8-62038429A791}">
      <text>
        <r>
          <rPr>
            <sz val="9"/>
            <color indexed="81"/>
            <rFont val="Tahoma"/>
            <family val="2"/>
          </rPr>
          <t>Field Name: coil_freq_x000D_
Access Mode:RW_x000D_
Description:Main coil frequency selection when fhss_e = '0'._x000D_
Secondary coil frequency selection during ABIST or trimming. _x000D_
'000': ???._x000D_
'001': ???._x000D_
'010': ???._x000D_
'011': ???._x000D_
'100': ???._x000D_
'101': ???._x000D_
'110': ???._x000D_
'111': ???._x000D_
 {hdl_path coil_freq_q}</t>
        </r>
      </text>
    </comment>
    <comment ref="R125" authorId="0" shapeId="0" xr:uid="{C95F15DC-8A11-475A-9B24-AE4259AA402F}">
      <text>
        <r>
          <rPr>
            <sz val="9"/>
            <color indexed="81"/>
            <rFont val="Tahoma"/>
            <family val="2"/>
          </rPr>
          <t>Field Name: bw_sel_e_x000D_
Access Mode:RW_x000D_
Description:When '1', bandwidth selection filter is enabled. Otherwise, bypass it._x000D_
 {hdl_path bw_sel_e_q}</t>
        </r>
      </text>
    </comment>
    <comment ref="S125" authorId="0" shapeId="0" xr:uid="{D7D2C20E-D5B0-468C-86DB-3DB2554A581C}">
      <text>
        <r>
          <rPr>
            <sz val="9"/>
            <color indexed="81"/>
            <rFont val="Tahoma"/>
            <family val="2"/>
          </rPr>
          <t>Field Name: bw_sel_x000D_
Access Mode:RW_x000D_
Description:Bandwidth selection._x000D_
'000': ._x000D_
'001': ._x000D_
'010': ._x000D_
'011': ._x000D_
'100': ._x000D_
'101': ._x000D_
'110': ._x000D_
'111': ._x000D_
 {hdl_path bw_sel_q}</t>
        </r>
      </text>
    </comment>
    <comment ref="V125" authorId="0" shapeId="0" xr:uid="{D64AFE25-9AE6-434D-87A9-59B16318E610}">
      <text>
        <r>
          <rPr>
            <sz val="9"/>
            <color indexed="81"/>
            <rFont val="Tahoma"/>
            <family val="2"/>
          </rPr>
          <t>Field Name: lin_bin_x000D_
Access Mode:RW_x000D_
Description:Enable bin mode for linearization table._x000D_
 {hdl_path lin_bin_q}</t>
        </r>
      </text>
    </comment>
    <comment ref="W125" authorId="0" shapeId="0" xr:uid="{5A5AD3F7-6160-4F99-AC00-B2C3433DBCF9}">
      <text>
        <r>
          <rPr>
            <sz val="9"/>
            <color indexed="81"/>
            <rFont val="Tahoma"/>
            <family val="2"/>
          </rPr>
          <t>Field Name: lin_e_x000D_
Access Mode:RW_x000D_
Description:When '1', linearization table is enabled. Otherwise, bypass it._x000D_
 {hdl_path lin_e_q}</t>
        </r>
      </text>
    </comment>
    <comment ref="X125" authorId="0" shapeId="0" xr:uid="{302DB72E-855D-4D53-9458-D2685730EB48}">
      <text>
        <r>
          <rPr>
            <sz val="9"/>
            <color indexed="81"/>
            <rFont val="Tahoma"/>
            <family val="2"/>
          </rPr>
          <t>Field Name: lin16_x000D_
Access Mode:RW_x000D_
Description:Linearization table entry 16._x000D_
 {hdl_path lin16_q}</t>
        </r>
      </text>
    </comment>
    <comment ref="C127" authorId="0" shapeId="0" xr:uid="{49DA8F46-19C2-4A57-AF1D-FB60A79BDFC1}">
      <text>
        <r>
          <rPr>
            <sz val="9"/>
            <color indexed="81"/>
            <rFont val="Tahoma"/>
            <family val="2"/>
          </rPr>
          <t>Write lock: "customer_register_lock_wr"_x000D_
Read lock: "customer_register_lock_rd"</t>
        </r>
      </text>
    </comment>
    <comment ref="K127" authorId="0" shapeId="0" xr:uid="{B33535F1-00F8-474C-9B52-03CF9EF64930}">
      <text>
        <r>
          <rPr>
            <sz val="9"/>
            <color indexed="81"/>
            <rFont val="Tahoma"/>
            <family val="2"/>
          </rPr>
          <t>Field Name: offset_x000D_
Access Mode:RW_x000D_
Description:Offset correction (two's complement from -8192 to +8191)._x000D_
 {hdl_path offset_q}</t>
        </r>
      </text>
    </comment>
    <comment ref="Y127" authorId="0" shapeId="0" xr:uid="{293D38DA-52E2-4BFA-B6AA-F8A6AC8ACDAB}">
      <text>
        <r>
          <rPr>
            <sz val="9"/>
            <color indexed="81"/>
            <rFont val="Tahoma"/>
            <family val="2"/>
          </rPr>
          <t>Field Name: gain_coarse_x000D_
Access Mode:RW_x000D_
Description:Coarse gain selection._x000D_
0: coarse_gain = 1_x000D_
1: coarse_gain = 2_x000D_
2: coarse_gain = 4_x000D_
3: coarse_gain = 8_x000D_
4: coarse_gain = 16_x000D_
5-7: coarse_gain = 32_x000D_
 {hdl_path gain_coarse_q}</t>
        </r>
      </text>
    </comment>
    <comment ref="AB127" authorId="0" shapeId="0" xr:uid="{9842A1A1-365A-480A-9A94-95F9B9A85E91}">
      <text>
        <r>
          <rPr>
            <sz val="9"/>
            <color indexed="81"/>
            <rFont val="Tahoma"/>
            <family val="2"/>
          </rPr>
          <t>Field Name: gain_fine_x000D_
Access Mode:RW_x000D_
Description:Fine gain selection (two's complement, from -256 to +255)._x000D_
 {hdl_path gain_fine_q}</t>
        </r>
      </text>
    </comment>
    <comment ref="C129" authorId="0" shapeId="0" xr:uid="{96E4B533-57C9-489B-90E0-99C3162BF773}">
      <text>
        <r>
          <rPr>
            <sz val="9"/>
            <color indexed="81"/>
            <rFont val="Tahoma"/>
            <family val="2"/>
          </rPr>
          <t>Write lock: "customer_register_lock_wr"_x000D_
Read lock: "customer_register_lock_rd"</t>
        </r>
      </text>
    </comment>
    <comment ref="L129" authorId="0" shapeId="0" xr:uid="{BA38AE9B-8AAE-4E4F-99B8-6A185E71C0C1}">
      <text>
        <r>
          <rPr>
            <sz val="9"/>
            <color indexed="81"/>
            <rFont val="Tahoma"/>
            <family val="2"/>
          </rPr>
          <t>Field Name: clamp_e_x000D_
Access Mode:RW_x000D_
Description:When '1', output clamper is enabled._x000D_
 {hdl_path clamp_e_q}</t>
        </r>
      </text>
    </comment>
    <comment ref="M129" authorId="0" shapeId="0" xr:uid="{C43382B0-F764-44C4-B5FD-3C6F4D62AD6A}">
      <text>
        <r>
          <rPr>
            <sz val="9"/>
            <color indexed="81"/>
            <rFont val="Tahoma"/>
            <family val="2"/>
          </rPr>
          <t>Field Name: clamp_h_x000D_
Access Mode:RW_x000D_
Description:High clamper._x000D_
 {hdl_path clamp_h_q}</t>
        </r>
      </text>
    </comment>
    <comment ref="Y129" authorId="0" shapeId="0" xr:uid="{2CF30FD5-BB24-40E7-8839-7C0C30B9F6E4}">
      <text>
        <r>
          <rPr>
            <sz val="9"/>
            <color indexed="81"/>
            <rFont val="Tahoma"/>
            <family val="2"/>
          </rPr>
          <t>Field Name: clamp_l_x000D_
Access Mode:RW_x000D_
Description:Low clamper._x000D_
 {hdl_path clamp_l_q}</t>
        </r>
      </text>
    </comment>
    <comment ref="C131" authorId="0" shapeId="0" xr:uid="{BCD7DE6D-E440-462D-8A49-951B125BDFD8}">
      <text>
        <r>
          <rPr>
            <sz val="9"/>
            <color indexed="81"/>
            <rFont val="Tahoma"/>
            <family val="2"/>
          </rPr>
          <t>Write lock: "customer_register_lock_wr"_x000D_
Read lock: "customer_register_lock_rd"</t>
        </r>
      </text>
    </comment>
    <comment ref="K131" authorId="0" shapeId="0" xr:uid="{6E6F33F9-0AA0-43E2-B89A-84C94B4D2DC6}">
      <text>
        <r>
          <rPr>
            <sz val="9"/>
            <color indexed="81"/>
            <rFont val="Tahoma"/>
            <family val="2"/>
          </rPr>
          <t>Field Name: sh_fill_me_1e_x000D_
Access Mode:RW_x000D_
Description:Reserved as spare._x000D_
 {hdl_path sh_fill_me_1e_q}</t>
        </r>
      </text>
    </comment>
    <comment ref="Q131" authorId="0" shapeId="0" xr:uid="{0706E400-101D-4CC3-95B0-446A3A5BEE00}">
      <text>
        <r>
          <rPr>
            <sz val="9"/>
            <color indexed="81"/>
            <rFont val="Tahoma"/>
            <family val="2"/>
          </rPr>
          <t>Field Name: coil_ovcur_e_x000D_
Access Mode:RW_x000D_
Description:When '1', main coil over current detection is disabled._x000D_
 {hdl_path coil_ovcur_e_q}</t>
        </r>
      </text>
    </comment>
    <comment ref="R131" authorId="0" shapeId="0" xr:uid="{531CAA49-9A50-43FC-B405-C097B2E60934}">
      <text>
        <r>
          <rPr>
            <sz val="9"/>
            <color indexed="81"/>
            <rFont val="Tahoma"/>
            <family val="2"/>
          </rPr>
          <t>Field Name: status_0_msk_x000D_
Access Mode:RW_x000D_
Description:Status 0 register mask. When '1', the associated error is masked._x000D_
[0]: sup_uv error._x000D_
[1]: sup_ov error._x000D_
[2]: a_sup_hv error._x000D_
[3]: a_coil_current_ov error._x000D_
[4]: Reg map error._x000D_
[5]: V1 - V2 out of range error._x000D_
[6]: V1/V2 (secondary coil) out of range error._x000D_
[7]: Digital signal path error._x000D_
 {hdl_path status_0_msk_q}</t>
        </r>
      </text>
    </comment>
    <comment ref="Z131" authorId="0" shapeId="0" xr:uid="{93B8729A-C2A2-4D3E-9BE6-9CBE82932FE1}">
      <text>
        <r>
          <rPr>
            <sz val="9"/>
            <color indexed="81"/>
            <rFont val="Tahoma"/>
            <family val="2"/>
          </rPr>
          <t>Field Name: diag_mode_x000D_
Access Mode:RW_x000D_
Description:When '1', any unmasked error will set the output to high-Z._x000D_
If LBIST was run, LBIST message is always transmitted prior to setting the output to high-Z._x000D_
 {hdl_path diag_mode_q}</t>
        </r>
      </text>
    </comment>
    <comment ref="AA131" authorId="0" shapeId="0" xr:uid="{8C8670BC-A9B0-47DB-B0D2-3FCF45D94CD2}">
      <text>
        <r>
          <rPr>
            <sz val="9"/>
            <color indexed="81"/>
            <rFont val="Tahoma"/>
            <family val="2"/>
          </rPr>
          <t>Field Name: abist_ack_x000D_
Access Mode:RW_x000D_
Description:ABIST acknowledge._x000D_
 {hdl_path abist_ack_q}</t>
        </r>
      </text>
    </comment>
    <comment ref="AB131" authorId="0" shapeId="0" xr:uid="{BCB785FE-4B4B-4283-BD32-273AE5498FDE}">
      <text>
        <r>
          <rPr>
            <sz val="9"/>
            <color indexed="81"/>
            <rFont val="Tahoma"/>
            <family val="2"/>
          </rPr>
          <t>Field Name: lbist_ack_x000D_
Access Mode:RW_x000D_
Description:LBIST acknowledge._x000D_
 {hdl_path lbist_ack_q}</t>
        </r>
      </text>
    </comment>
    <comment ref="AC131" authorId="0" shapeId="0" xr:uid="{6975B834-E3CE-4E8B-AE43-7E4079699807}">
      <text>
        <r>
          <rPr>
            <sz val="9"/>
            <color indexed="81"/>
            <rFont val="Tahoma"/>
            <family val="2"/>
          </rPr>
          <t>Field Name: abist_e_x000D_
Access Mode:RW_x000D_
Description:ABIST enable configuration:_x000D_
\s\s\s00 - Disabled._x000D_
\s\s\s01 - Power on._x000D_
\s\s\s10 - User requested._x000D_
\s\s\s11 - Both._x000D_
(User requested can be either customer, factory or open depending where is placed bist_start volatile field)._x000D_
 {hdl_path abist_e_q}</t>
        </r>
      </text>
    </comment>
    <comment ref="AE131" authorId="0" shapeId="0" xr:uid="{43A57164-AC63-47F0-987D-1FAE4A362639}">
      <text>
        <r>
          <rPr>
            <sz val="9"/>
            <color indexed="81"/>
            <rFont val="Tahoma"/>
            <family val="2"/>
          </rPr>
          <t>Field Name: lbist_e_x000D_
Access Mode:RW_x000D_
Description:LBIST enable configuration:_x000D_
\s\s\s00 - Disabled._x000D_
\s\s\s01 - Power on._x000D_
\s\s\s10 - User requested._x000D_
\s\s\s11 - Both._x000D_
(User requested can be either customer, factory or open depending where is placed bist_start volatile field)._x000D_
 {hdl_path lbist_e_q}</t>
        </r>
      </text>
    </comment>
    <comment ref="AG131" authorId="0" shapeId="0" xr:uid="{26CE3FF9-A076-4B10-BB65-C8A3DFC203D9}">
      <text>
        <r>
          <rPr>
            <sz val="9"/>
            <color indexed="81"/>
            <rFont val="Tahoma"/>
            <family val="2"/>
          </rPr>
          <t>Field Name: mem_lock_x000D_
Access Mode:RW_x000D_
Description:3'b0011 - EEPROM Lock: Prevents writes to EEPROM but all registers including shadow can be written. All registers and EEPROM can be read._x000D_
3'b0110 - Write Lock: Prevents writing anything to either EEPROM or registers. All registers and EEPROM can still be read._x000D_
3'b1100 - Full Lock: Prevents all access to the device._x000D_
 {hdl_path mem_lock_q}</t>
        </r>
      </text>
    </comment>
    <comment ref="C133" authorId="0" shapeId="0" xr:uid="{13701A75-C60F-452B-A878-6EAF1A0854AF}">
      <text>
        <r>
          <rPr>
            <sz val="9"/>
            <color indexed="81"/>
            <rFont val="Tahoma"/>
            <family val="2"/>
          </rPr>
          <t>Write lock: "customer_register_lock_wr"_x000D_
Read lock: "customer_register_lock_rd"</t>
        </r>
      </text>
    </comment>
    <comment ref="M133" authorId="0" shapeId="0" xr:uid="{AC1211A6-B424-4494-B0C0-7E2209DFBBE4}">
      <text>
        <r>
          <rPr>
            <sz val="9"/>
            <color indexed="81"/>
            <rFont val="Tahoma"/>
            <family val="2"/>
          </rPr>
          <t>Field Name: cust_word_x000D_
Access Mode:RW_x000D_
Description:Reserved as spare._x000D_
 {hdl_path cust_word_q}</t>
        </r>
      </text>
    </comment>
    <comment ref="C135" authorId="0" shapeId="0" xr:uid="{B357D0C1-3A38-44BD-B926-B68884DCFC7D}">
      <text>
        <r>
          <rPr>
            <sz val="9"/>
            <color indexed="81"/>
            <rFont val="Tahoma"/>
            <family val="2"/>
          </rPr>
          <t>Write lock: "factory_register_lock_wr"_x000D_
Read lock: "customer_register_lock_rd"</t>
        </r>
      </text>
    </comment>
    <comment ref="E135" authorId="0" shapeId="0" xr:uid="{B0895A40-654E-43FC-B4E9-9B515B306D05}">
      <text>
        <r>
          <rPr>
            <sz val="9"/>
            <color indexed="81"/>
            <rFont val="Tahoma"/>
            <family val="2"/>
          </rPr>
          <t>Field Name: cp_rup_sel_x000D_
Access Mode:RW_x000D_
Description:Selects the ramp up time for the charge pump._x000D_
 {hdl_path cp_rup_sel_q}</t>
        </r>
      </text>
    </comment>
    <comment ref="G135" authorId="0" shapeId="0" xr:uid="{6B6B7A8B-18F7-4FB3-BFAD-8B4F2EE33C1E}">
      <text>
        <r>
          <rPr>
            <sz val="9"/>
            <color indexed="81"/>
            <rFont val="Tahoma"/>
            <family val="2"/>
          </rPr>
          <t>Field Name: cp_hv_sel_x000D_
Access Mode:RW_x000D_
Description:Selects the time the cp_dac remains at its max value._x000D_
 {hdl_path cp_hv_sel_q}</t>
        </r>
      </text>
    </comment>
    <comment ref="I135" authorId="0" shapeId="0" xr:uid="{FC9E8BB7-5D80-4D01-B602-49CC98A12F8A}">
      <text>
        <r>
          <rPr>
            <sz val="9"/>
            <color indexed="81"/>
            <rFont val="Tahoma"/>
            <family val="2"/>
          </rPr>
          <t>Field Name: cp_rdn_sel_x000D_
Access Mode:RW_x000D_
Description:Selects the ramp down time for the charge pump._x000D_
 {hdl_path cp_rdn_sel_q}</t>
        </r>
      </text>
    </comment>
    <comment ref="K135" authorId="0" shapeId="0" xr:uid="{5D0B0091-BF6C-464C-9E70-8F87B4CE8C8C}">
      <text>
        <r>
          <rPr>
            <sz val="9"/>
            <color indexed="81"/>
            <rFont val="Tahoma"/>
            <family val="2"/>
          </rPr>
          <t>Field Name: cp_dac_x000D_
Access Mode:RW_x000D_
Description:This value is driven on cp_dac[5:0] output when cp_dac_en  is set._x000D_
 {hdl_path cp_dac_q}</t>
        </r>
      </text>
    </comment>
    <comment ref="Q135" authorId="0" shapeId="0" xr:uid="{80188869-B62B-432B-B031-D44EBB3DD07D}">
      <text>
        <r>
          <rPr>
            <sz val="9"/>
            <color indexed="81"/>
            <rFont val="Tahoma"/>
            <family val="2"/>
          </rPr>
          <t>Field Name: cp_use_dac_x000D_
Access Mode:RW_x000D_
Description:0: Normal operation_x000D_
1: The value in CP_DAC drives the cp_dac[5:0] output._x000D_
 {hdl_path cp_use_dac_q}</t>
        </r>
      </text>
    </comment>
    <comment ref="R135" authorId="0" shapeId="0" xr:uid="{D4DC5821-E44C-4959-9A37-19F6768BE897}">
      <text>
        <r>
          <rPr>
            <sz val="9"/>
            <color indexed="81"/>
            <rFont val="Tahoma"/>
            <family val="2"/>
          </rPr>
          <t>Field Name: cp_force_en_x000D_
Access Mode:RW_x000D_
Description:0: Normal operation._x000D_
1: Force cp_en output high._x000D_
 {hdl_path cp_force_en_q}</t>
        </r>
      </text>
    </comment>
    <comment ref="S135" authorId="0" shapeId="0" xr:uid="{3F3CFB9B-C1AF-4401-B29B-6A2A30792A63}">
      <text>
        <r>
          <rPr>
            <sz val="9"/>
            <color indexed="81"/>
            <rFont val="Tahoma"/>
            <family val="2"/>
          </rPr>
          <t>Field Name: ee_erase_x000D_
Access Mode:RW_x000D_
Description:Setting this bit will perform an ERASE operation only on the EEPROM the next time an EEPROM address is written. It is self clearing when the ERASE operation is complete. _x000D_
 {hdl_path ee_erase_q}</t>
        </r>
      </text>
    </comment>
    <comment ref="T135" authorId="0" shapeId="0" xr:uid="{4B05277F-7F48-425D-BA76-318A001360F1}">
      <text>
        <r>
          <rPr>
            <sz val="9"/>
            <color indexed="81"/>
            <rFont val="Tahoma"/>
            <family val="2"/>
          </rPr>
          <t>Field Name: ee_prog_x000D_
Access Mode:RW_x000D_
Description:Setting this bit will perform a PROGRAM operation only on the EEPROM the next time and EEPROM address is written. If ERASE is set, this bit is ignored. It is self clearing when the PROGRAM operation is complete. _x000D_
 {hdl_path ee_prog_q}</t>
        </r>
      </text>
    </comment>
    <comment ref="U135" authorId="0" shapeId="0" xr:uid="{1875887D-3084-45D4-BC14-C47BFB21EC63}">
      <text>
        <r>
          <rPr>
            <sz val="9"/>
            <color indexed="81"/>
            <rFont val="Tahoma"/>
            <family val="2"/>
          </rPr>
          <t>Field Name: ee_noload_x000D_
Access Mode:RW_x000D_
Description:0: Normal operation _x000D_
1: Disables update of the shadow registers. Overrides reload bit. _x000D_
 {hdl_path ee_noload_q}</t>
        </r>
      </text>
    </comment>
    <comment ref="V135" authorId="0" shapeId="0" xr:uid="{6CFA9E19-04FE-4B27-AE0C-F3E77F5AD606}">
      <text>
        <r>
          <rPr>
            <sz val="9"/>
            <color indexed="81"/>
            <rFont val="Tahoma"/>
            <family val="2"/>
          </rPr>
          <t>Field Name: ee_en_override_x000D_
Access Mode:RW_x000D_
Description:0: Normal operation._x000D_
1: Force ee_en output high._x000D_
 {hdl_path ee_en_override_q}</t>
        </r>
      </text>
    </comment>
    <comment ref="W135" authorId="0" shapeId="0" xr:uid="{FC3155BB-19F0-4582-849E-6F7A025713DE}">
      <text>
        <r>
          <rPr>
            <sz val="9"/>
            <color indexed="81"/>
            <rFont val="Tahoma"/>
            <family val="2"/>
          </rPr>
          <t>Field Name: ee_override_x000D_
Access Mode:RW_x000D_
Description:00: Normal operation_x000D_
01: Force ee_rd output high_x000D_
10: Force ee_er output high_x000D_
11: Force ee_pr output high_x000D_
 {hdl_path ee_override_q}</t>
        </r>
      </text>
    </comment>
    <comment ref="Y135" authorId="0" shapeId="0" xr:uid="{ABA9C4DD-AEED-49FD-B19D-4C98F54DE100}">
      <text>
        <r>
          <rPr>
            <sz val="9"/>
            <color indexed="81"/>
            <rFont val="Tahoma"/>
            <family val="2"/>
          </rPr>
          <t>Field Name: ee_abort_x000D_
Access Mode:RW_x000D_
Description:Terminates any EEPROM write transaction immediately.  Leaves the EEPROM ready for a new transaction. _x000D_
 {hdl_path ee_abort_q}</t>
        </r>
      </text>
    </comment>
    <comment ref="Z135" authorId="0" shapeId="0" xr:uid="{E4C085E3-D214-4F57-A063-1E66BA0E6C29}">
      <text>
        <r>
          <rPr>
            <sz val="9"/>
            <color indexed="81"/>
            <rFont val="Tahoma"/>
            <family val="2"/>
          </rPr>
          <t>Field Name: ee_force_dbe_x000D_
Access Mode:RW_x000D_
Description:0: Disabled._x000D_
1: Force a Multi bit error during read (inverts bits 1:0)._x000D_
 {hdl_path ee_force_dbe_q}</t>
        </r>
      </text>
    </comment>
    <comment ref="AA135" authorId="0" shapeId="0" xr:uid="{87DF2EB3-3725-4CFA-B180-F1B4CA42552C}">
      <text>
        <r>
          <rPr>
            <sz val="9"/>
            <color indexed="81"/>
            <rFont val="Tahoma"/>
            <family val="2"/>
          </rPr>
          <t>Field Name: ee_force_sbe_x000D_
Access Mode:RW_x000D_
Description:0: Disabled._x000D_
1: Force a Single bit error during read (inverts bit 0). Takes precedence over ee_force_dbe. _x000D_
 {hdl_path ee_force_sbe_q}</t>
        </r>
      </text>
    </comment>
    <comment ref="AB135" authorId="0" shapeId="0" xr:uid="{7E5A53B8-2F1F-4418-9992-B6CF89EDCB68}">
      <text>
        <r>
          <rPr>
            <sz val="9"/>
            <color indexed="81"/>
            <rFont val="Tahoma"/>
            <family val="2"/>
          </rPr>
          <t>Field Name: ee_raw_ecc_x000D_
Access Mode:RW_x000D_
Description:0: ECC bits encode error information_x000D_
\s\s\s\sECC bit 2: 1 if single bit error, 0 if no error._x000D_
\s\s\s\sECC bit 3: 1 if double bit error, 0 if not error._x000D_
\s\s\s\sAll other ecc bits are always 0._x000D_
1: ECC bits return the ECC code (top bits in EEPROM)._x000D_
 {hdl_path ee_raw_ecc_q}</t>
        </r>
      </text>
    </comment>
    <comment ref="AC135" authorId="0" shapeId="0" xr:uid="{53C79D68-8F51-4BCA-B6D1-C9F88359771A}">
      <text>
        <r>
          <rPr>
            <sz val="9"/>
            <color indexed="81"/>
            <rFont val="Tahoma"/>
            <family val="2"/>
          </rPr>
          <t>Field Name: ee_dis_ecc_x000D_
Access Mode:RW_x000D_
Description:0: Correct Single bit errors when they occur._x000D_
1: Do not correct single bit errors._x000D_
 {hdl_path ee_dis_ecc_q}</t>
        </r>
      </text>
    </comment>
    <comment ref="AD135" authorId="0" shapeId="0" xr:uid="{EDC61539-9771-469B-A79F-59CF32187ED8}">
      <text>
        <r>
          <rPr>
            <sz val="9"/>
            <color indexed="81"/>
            <rFont val="Tahoma"/>
            <family val="2"/>
          </rPr>
          <t>Field Name: ee_no_ecc_x000D_
Access Mode:RW_x000D_
Description:0: Upper bits of EEPROM is written with ECC bits. _x000D_
1: EEPROM is written with all bits of raw data. During a read, all bits of raw data is returned._x000D_
 {hdl_path ee_no_ecc_q}</t>
        </r>
      </text>
    </comment>
    <comment ref="AE135" authorId="0" shapeId="0" xr:uid="{A6E373F4-4707-4762-81ED-B681E7B06D11}">
      <text>
        <r>
          <rPr>
            <sz val="9"/>
            <color indexed="81"/>
            <rFont val="Tahoma"/>
            <family val="2"/>
          </rPr>
          <t>Field Name: ee_block_mode_x000D_
Access Mode:RW_x000D_
Description:00: Single Word Write Access_x000D_
01: Odd Word Write Access (address ignored)._x000D_
10: Even Word Write Access (address ignored)._x000D_
11: All Word Write Access (address ignored)._x000D_
This field only affects write operations._x000D_
_x000D_
_x000D_
 {hdl_path ee_block_mode_q} {output_coupling true} {scan_val 0}</t>
        </r>
      </text>
    </comment>
    <comment ref="AG135" authorId="0" shapeId="0" xr:uid="{900E8F41-AB1E-4924-9112-B577122DE90E}">
      <text>
        <r>
          <rPr>
            <sz val="9"/>
            <color indexed="81"/>
            <rFont val="Tahoma"/>
            <family val="2"/>
          </rPr>
          <t>Field Name: ee_vread_x000D_
Access Mode:RW_x000D_
Description:EEPROM read voltage for cell margining. Refer to EEPROM Spec v3.0._x000D_
_x000D_
_x000D_
 {hdl_path ee_vread_q} {output_coupling true} {scan_val 0}</t>
        </r>
      </text>
    </comment>
    <comment ref="AJ135" authorId="0" shapeId="0" xr:uid="{E6DEFDA5-6932-44DE-BECD-625E488B46B0}">
      <text>
        <r>
          <rPr>
            <sz val="9"/>
            <color indexed="81"/>
            <rFont val="Tahoma"/>
            <family val="2"/>
          </rPr>
          <t>Field Name: ee_force_reload_x000D_
Access Mode:RW_x000D_
Description:When set the chip will initiate a Shadow Reload. This bit will clear when complete.  _x000D_
 {hdl_path ee_force_reload_q}</t>
        </r>
      </text>
    </comment>
    <comment ref="C137" authorId="0" shapeId="0" xr:uid="{CFAD668C-CC92-4C66-BCB4-F42C9030699C}">
      <text>
        <r>
          <rPr>
            <sz val="9"/>
            <color indexed="81"/>
            <rFont val="Tahoma"/>
            <family val="2"/>
          </rPr>
          <t>Write lock: "factory_register_lock_wr"_x000D_
Read lock: "customer_register_lock_rd"</t>
        </r>
      </text>
    </comment>
    <comment ref="Q137" authorId="0" shapeId="0" xr:uid="{0EB4B23D-3573-4AC4-B414-A2ED7F10080B}">
      <text>
        <r>
          <rPr>
            <sz val="9"/>
            <color indexed="81"/>
            <rFont val="Tahoma"/>
            <family val="2"/>
          </rPr>
          <t>Field Name: ee_dbe_flag_x000D_
Access Mode:RW_x000D_
Description:Latched and held high when a DBE has occurred._x000D_
 {hdl_path ee_dbe_flag_q}</t>
        </r>
      </text>
    </comment>
    <comment ref="R137" authorId="0" shapeId="0" xr:uid="{797AF91F-3183-46C4-B455-8AEBEEDDB7F4}">
      <text>
        <r>
          <rPr>
            <sz val="9"/>
            <color indexed="81"/>
            <rFont val="Tahoma"/>
            <family val="2"/>
          </rPr>
          <t>Field Name: ee_sbe_flag_x000D_
Access Mode:RW_x000D_
Description:Latched and held high when a SBE has occurred._x000D_
 {hdl_path ee_sbe_flag_q}</t>
        </r>
      </text>
    </comment>
    <comment ref="S137" authorId="0" shapeId="0" xr:uid="{7D3437DE-0696-4C52-9D72-D457D6EBA42A}">
      <text>
        <r>
          <rPr>
            <sz val="9"/>
            <color indexed="81"/>
            <rFont val="Tahoma"/>
            <family val="2"/>
          </rPr>
          <t>Field Name: ee_ecc_x000D_
Access Mode:RW_x000D_
Description:Reflects bits [29:24] to be written to the EEPROM or read from the EEPROM. This allows for a manual write to the EEPROM or will contain data read from the EEPROM if margining or self check fails._x000D_
 {hdl_path ee_ecc_q}</t>
        </r>
      </text>
    </comment>
    <comment ref="Y137" authorId="0" shapeId="0" xr:uid="{DF6B9166-5B2E-470D-B9CC-B1AB7573958B}">
      <text>
        <r>
          <rPr>
            <sz val="9"/>
            <color indexed="81"/>
            <rFont val="Tahoma"/>
            <family val="2"/>
          </rPr>
          <t>Field Name: ee_addr_x000D_
Access Mode:RW_x000D_
Description:Reflects the read/write address to the EEPROM. This allows for a manual write to the EEPROM or will contain data read from the EEPROM if margining or self check fails._x000D_
The default value must point to the POR trimming data._x000D_
 {hdl_path ee_addr_q}</t>
        </r>
      </text>
    </comment>
    <comment ref="AD137" authorId="0" shapeId="0" xr:uid="{358D209A-1784-4503-BB94-DC7A6FCDE5EB}">
      <text>
        <r>
          <rPr>
            <sz val="9"/>
            <color indexed="81"/>
            <rFont val="Tahoma"/>
            <family val="2"/>
          </rPr>
          <t>Field Name: ee_err_status_x000D_
Access Mode:RO_x000D_
Description:Status of the most recent EEPROM write error._x000D_
Bit[4]:_x000D_
0: error occurred during erase._x000D_
1: error occurred during program._x000D_
Bit[3]:_x000D_
0: error occurred during ramp up._x000D_
1: error occurred during ramp down._x000D_
Bit 2: program pulse value._x000D_
Bit 1: hlat value._x000D_
Bit 0: llat value._x000D_
 {hdl_path ee_err_status_q}</t>
        </r>
      </text>
    </comment>
    <comment ref="AI137" authorId="0" shapeId="0" xr:uid="{14719369-1478-4B90-BAA8-3459256E9884}">
      <text>
        <r>
          <rPr>
            <sz val="9"/>
            <color indexed="81"/>
            <rFont val="Tahoma"/>
            <family val="2"/>
          </rPr>
          <t>Field Name: cp_err_x000D_
Access Mode:RC_x000D_
Description:High to indicate an error occurred during charge pump ramp. ee_err_status stores information about the error. This bit is latch and hold with clear on read._x000D_
 {hdl_path cp_err_q}</t>
        </r>
      </text>
    </comment>
    <comment ref="AJ137" authorId="0" shapeId="0" xr:uid="{2E6E3390-9B2C-4649-9BE5-B1F84B2FA9A8}">
      <text>
        <r>
          <rPr>
            <sz val="9"/>
            <color indexed="81"/>
            <rFont val="Tahoma"/>
            <family val="2"/>
          </rPr>
          <t>Field Name: ee_err_x000D_
Access Mode:RC_x000D_
Description:Indicates an EEPROM write error occurred. This bit is latch and hold with clear on read._x000D_
 {hdl_path ee_err_q}</t>
        </r>
      </text>
    </comment>
    <comment ref="C139" authorId="0" shapeId="0" xr:uid="{4893932F-1646-4C36-8D08-72F8BC81CB1D}">
      <text>
        <r>
          <rPr>
            <sz val="9"/>
            <color indexed="81"/>
            <rFont val="Tahoma"/>
            <family val="2"/>
          </rPr>
          <t>Write lock: "factory_register_lock_wr"_x000D_
Read lock: "customer_register_lock_rd"</t>
        </r>
      </text>
    </comment>
    <comment ref="K139" authorId="0" shapeId="0" xr:uid="{574A8CC2-CF29-4169-8835-7C0215A04379}">
      <text>
        <r>
          <rPr>
            <sz val="9"/>
            <color indexed="81"/>
            <rFont val="Tahoma"/>
            <family val="2"/>
          </rPr>
          <t>Field Name: ee_data_x000D_
Access Mode:RW_x000D_
Description:Contains the data for an EEPROM access. On a write this register contains the written data, on a read this register contains the read data. This allows for a manual write to the EEPROM or will contain data read from the EEPROM if margining or self check fails._x000D_
 {hdl_path ee_data_q}</t>
        </r>
      </text>
    </comment>
    <comment ref="C141" authorId="0" shapeId="0" xr:uid="{FD41C41B-55EE-4596-B06D-E6041B6811E3}">
      <text>
        <r>
          <rPr>
            <sz val="9"/>
            <color indexed="81"/>
            <rFont val="Tahoma"/>
            <family val="2"/>
          </rPr>
          <t>Write lock: "(factory_register_lock_wr_x000D_
Read lock: ||</t>
        </r>
      </text>
    </comment>
    <comment ref="X141" authorId="0" shapeId="0" xr:uid="{96971730-A96D-4799-B0AA-4B44715294CE}">
      <text>
        <r>
          <rPr>
            <sz val="9"/>
            <color indexed="81"/>
            <rFont val="Tahoma"/>
            <family val="2"/>
          </rPr>
          <t>Field Name: ee_loop_x000D_
Access Mode:RW_x000D_
Description:Causes margin or pattern testing to loop until an error is found._x000D_
 {hdl_path ee_loop_q}</t>
        </r>
      </text>
    </comment>
    <comment ref="Y141" authorId="0" shapeId="0" xr:uid="{A14EB254-DDBC-4728-B75B-197DD0B4E7E7}">
      <text>
        <r>
          <rPr>
            <sz val="9"/>
            <color indexed="81"/>
            <rFont val="Tahoma"/>
            <family val="2"/>
          </rPr>
          <t>Field Name: ee_test_addr_x000D_
Access Mode:RW_x000D_
Description:If ee_use_tst_addr is set, then margining or pattern test will start at this address. If the test fails, this will contain the failing address. _x000D_
 {hdl_path ee_test_addr_q}</t>
        </r>
      </text>
    </comment>
    <comment ref="AD141" authorId="0" shapeId="0" xr:uid="{4101FA9D-5A59-47B3-BDED-EE7E86F7B335}">
      <text>
        <r>
          <rPr>
            <sz val="9"/>
            <color indexed="81"/>
            <rFont val="Tahoma"/>
            <family val="2"/>
          </rPr>
          <t>Field Name: ee_use_test_addr_x000D_
Access Mode:RW_x000D_
Description:0: No effect._x000D_
1: Uses ee_test_addr as the start address for margining. _x000D_
If ee_loop is set, this bit is ignored and the starting address is always 0x0_x000D_
 {hdl_path ee_use_test_addr_q}</t>
        </r>
      </text>
    </comment>
    <comment ref="AE141" authorId="0" shapeId="0" xr:uid="{119A2ED4-A368-4BBA-8731-2326486F8381}">
      <text>
        <r>
          <rPr>
            <sz val="9"/>
            <color indexed="81"/>
            <rFont val="Tahoma"/>
            <family val="2"/>
          </rPr>
          <t>Field Name: margin_min_max_fail_x000D_
Access Mode:RO_x000D_
Description:If margining fails, this bit indicates if the min or max reference failed._x000D_
0: Min margining failed._x000D_
1: Max margining failed. _x000D_
 {hdl_path margin_min_max_fail_q}</t>
        </r>
      </text>
    </comment>
    <comment ref="AF141" authorId="0" shapeId="0" xr:uid="{15012656-817E-4496-B01C-704403F9783D}">
      <text>
        <r>
          <rPr>
            <sz val="9"/>
            <color indexed="81"/>
            <rFont val="Tahoma"/>
            <family val="2"/>
          </rPr>
          <t>Field Name: margin_status_x000D_
Access Mode:RO_x000D_
Description:Bits are cleared after a read or reset._x000D_
\s\s00: Reset condition (no result from margin testing)._x000D_
\s\s01: Pass, no failure detected during margin testing._x000D_
\s\s10: Fail, failure detected during margin testing._x000D_
\s\s11: Running, margin test is still running._x000D_
 {hdl_path margin_status_q}</t>
        </r>
      </text>
    </comment>
    <comment ref="AH141" authorId="0" shapeId="0" xr:uid="{7B4A13ED-9A66-43B4-86C6-2444423A0F15}">
      <text>
        <r>
          <rPr>
            <sz val="9"/>
            <color indexed="81"/>
            <rFont val="Tahoma"/>
            <family val="2"/>
          </rPr>
          <t>Field Name: margin_no_min_x000D_
Access Mode:RW_x000D_
Description:Does not perform minimum margin testing._x000D_
0: Margining done a min voltage._x000D_
1: No margining at min voltage._x000D_
 {hdl_path margin_no_min_q}</t>
        </r>
      </text>
    </comment>
    <comment ref="AI141" authorId="0" shapeId="0" xr:uid="{EC3BDA7B-A487-4EFF-8700-98A5E83620AB}">
      <text>
        <r>
          <rPr>
            <sz val="9"/>
            <color indexed="81"/>
            <rFont val="Tahoma"/>
            <family val="2"/>
          </rPr>
          <t>Field Name: margin_no_max_x000D_
Access Mode:RW_x000D_
Description:Does not perform maximum margin testing._x000D_
0: Margining done a max voltage._x000D_
1: No margining at max voltage._x000D_
 {hdl_path margin_no_max_q}</t>
        </r>
      </text>
    </comment>
    <comment ref="AJ141" authorId="0" shapeId="0" xr:uid="{224A0AD1-2368-49B9-9077-8D203F4B734C}">
      <text>
        <r>
          <rPr>
            <sz val="9"/>
            <color indexed="81"/>
            <rFont val="Tahoma"/>
            <family val="2"/>
          </rPr>
          <t>Field Name: margin_start_x000D_
Access Mode:RW_x000D_
Description:Write to 1 to start margin testing. If EE_LOOP is low, this bit will self clear when address 0xB is reached. If EE_LOOP is high, this bit must be written to 0 to stop test. This bit always clears on a fail._x000D_
 {hdl_path margin_start_q}</t>
        </r>
      </text>
    </comment>
    <comment ref="C143" authorId="0" shapeId="0" xr:uid="{18ECA9C3-6774-492B-9D7C-D3FCD41D0601}">
      <text>
        <r>
          <rPr>
            <sz val="9"/>
            <color indexed="81"/>
            <rFont val="Tahoma"/>
            <family val="2"/>
          </rPr>
          <t>Write lock: "factory_register_lock_wr"_x000D_
Read lock: "customer_register_lock_rd"</t>
        </r>
      </text>
    </comment>
    <comment ref="AF143" authorId="0" shapeId="0" xr:uid="{40A5363E-9022-4932-92D9-585DF380758F}">
      <text>
        <r>
          <rPr>
            <sz val="9"/>
            <color indexed="81"/>
            <rFont val="Tahoma"/>
            <family val="2"/>
          </rPr>
          <t>Field Name: pat_test_pattern_x000D_
Access Mode:RW_x000D_
Description:Defines the pattern that will be checked when reading the EEPROM._x000D_
00: All 0s._x000D_
01: All 1s._x000D_
10: Checker board starting at 0x0 with '010101.'_x000D_
11: Checker board starting at 0x0 with '101010.' _x000D_
 {hdl_path pat_test_pattern_q}</t>
        </r>
      </text>
    </comment>
    <comment ref="AH143" authorId="0" shapeId="0" xr:uid="{49DDBACC-15DC-42C9-B44A-3F8257209B9D}">
      <text>
        <r>
          <rPr>
            <sz val="9"/>
            <color indexed="81"/>
            <rFont val="Tahoma"/>
            <family val="2"/>
          </rPr>
          <t>Field Name: pat_test_status_x000D_
Access Mode:RO_x000D_
Description:00: Reset condition (no result from pat testing)._x000D_
01: Pass, no failure detected during pat testing._x000D_
10: Fail, failure detected during pat testing._x000D_
11: Running, pat test is still running._x000D_
 {hdl_path pat_test_status_q}</t>
        </r>
      </text>
    </comment>
    <comment ref="AJ143" authorId="0" shapeId="0" xr:uid="{5FA28C5C-A2FC-4B2B-A7CB-08179EFDDF87}">
      <text>
        <r>
          <rPr>
            <sz val="9"/>
            <color indexed="81"/>
            <rFont val="Tahoma"/>
            <family val="2"/>
          </rPr>
          <t>Field Name: pat_test_start_x000D_
Access Mode:RW_x000D_
Description:Write to 1 to start pattern check testing. If EE_LOOP is low, this bit will self clear when address 0xB is reached. If EE_LOOP is high, this bit must be written to 0 to stop test. This bit always clears on a fail._x000D_
_x000D_
 {hdl_path pat_test_start_q} {u_block_volatile_output true}</t>
        </r>
      </text>
    </comment>
    <comment ref="C145" authorId="0" shapeId="0" xr:uid="{9A538F53-FCE9-471E-980D-C7E932FF3DCE}">
      <text>
        <r>
          <rPr>
            <sz val="9"/>
            <color indexed="81"/>
            <rFont val="Tahoma"/>
            <family val="2"/>
          </rPr>
          <t>Write lock: "factory_register_lock_wr"_x000D_
Read lock: "customer_register_lock_rd"</t>
        </r>
      </text>
    </comment>
    <comment ref="E145" authorId="0" shapeId="0" xr:uid="{7A29F6EC-358E-411C-A65E-0726503184FB}">
      <text>
        <r>
          <rPr>
            <sz val="9"/>
            <color indexed="81"/>
            <rFont val="Tahoma"/>
            <family val="2"/>
          </rPr>
          <t>Field Name: soft_rst_x000D_
Access Mode:WO_x000D_
Description:When '1' is written, the digital signal path is reset._x000D_
When is read, always returns '0'._x000D_
_x000D_
 {hdl_path u_dig_top.u_dft_wrapper.u_scan_wrapper.u_functional_top.u_ids_top.u_direct_regmap.volatile_dft_soft_rst_q} {u_block_volatile_output true}</t>
        </r>
      </text>
    </comment>
    <comment ref="F145" authorId="0" shapeId="0" xr:uid="{9F185F5E-CCA3-457C-A7CE-45597C7B3E6F}">
      <text>
        <r>
          <rPr>
            <sz val="9"/>
            <color indexed="81"/>
            <rFont val="Tahoma"/>
            <family val="2"/>
          </rPr>
          <t>Field Name: stop_x000D_
Access Mode:RW_x000D_
Description:When '1' the digital signal path is stopped._x000D_
_x000D_
 {hdl_path u_dig_top.u_dft_wrapper.u_scan_wrapper.u_functional_top.u_ids_top.u_direct_regmap.volatile_dft_stop_q} {u_block_volatile_output true}</t>
        </r>
      </text>
    </comment>
    <comment ref="G145" authorId="0" shapeId="0" xr:uid="{0D35A029-2104-4961-B3AD-D0978086D826}">
      <text>
        <r>
          <rPr>
            <sz val="9"/>
            <color indexed="81"/>
            <rFont val="Tahoma"/>
            <family val="2"/>
          </rPr>
          <t>Field Name: run_step_x000D_
Access Mode:WO_x000D_
Description:When dsp_stop='1', by writing '1' to the dsp_run_step will run the digital signal path by one clock cycle._x000D_
_x000D_
 {hdl_path u_dig_top.u_dft_wrapper.u_scan_wrapper.u_functional_top.u_ids_top.u_direct_regmap.volatile_dft_run_step_q} {u_block_volatile_output true}</t>
        </r>
      </text>
    </comment>
    <comment ref="AD145" authorId="0" shapeId="0" xr:uid="{33C7786D-C571-4D7A-B08F-D62CDDAED43C}">
      <text>
        <r>
          <rPr>
            <sz val="9"/>
            <color indexed="81"/>
            <rFont val="Tahoma"/>
            <family val="2"/>
          </rPr>
          <t>Field Name: abist_pass1_fail0_x000D_
Access Mode:RO_x000D_
Description:ABIST pass._x000D_
 {registered false}</t>
        </r>
      </text>
    </comment>
    <comment ref="AE145" authorId="0" shapeId="0" xr:uid="{83DB760D-A446-42AA-88F5-0F5B39126F67}">
      <text>
        <r>
          <rPr>
            <sz val="9"/>
            <color indexed="81"/>
            <rFont val="Tahoma"/>
            <family val="2"/>
          </rPr>
          <t>Field Name: lbist_pass1_fail0_x000D_
Access Mode:RO_x000D_
Description:LBIST pass._x000D_
 {registered false}</t>
        </r>
      </text>
    </comment>
    <comment ref="AF145" authorId="0" shapeId="0" xr:uid="{DD9AC539-50BA-481C-84E4-DC1D09BEE1D2}">
      <text>
        <r>
          <rPr>
            <sz val="9"/>
            <color indexed="81"/>
            <rFont val="Tahoma"/>
            <family val="2"/>
          </rPr>
          <t>Field Name: bist_done_x000D_
Access Mode:RC_x000D_
Description:BIST done. When '1', LBIST and ABIST has finished._x000D_
 {registered false}</t>
        </r>
      </text>
    </comment>
    <comment ref="AG145" authorId="0" shapeId="0" xr:uid="{02EEAA61-94CB-41CC-8F89-894CCC67AB4D}">
      <text>
        <r>
          <rPr>
            <sz val="9"/>
            <color indexed="81"/>
            <rFont val="Tahoma"/>
            <family val="2"/>
          </rPr>
          <t>Field Name: bist_start_x000D_
Access Mode:WO_x000D_
Description:BIST start. When '1', LBIST and then ABIST start. It fires up BIST configured by user_st EEPROM/Shadow field._x000D_
 {registered false}</t>
        </r>
      </text>
    </comment>
    <comment ref="AH145" authorId="0" shapeId="0" xr:uid="{DC7A54A5-E55D-486B-ACAD-2C84390AD3FA}">
      <text>
        <r>
          <rPr>
            <sz val="9"/>
            <color indexed="81"/>
            <rFont val="Tahoma"/>
            <family val="2"/>
          </rPr>
          <t>Field Name: dly_fault_e_x000D_
Access Mode:RW_x000D_
Description:Delay fault enable._x000D_
_x000D_
 {registered false} {hdl_path u_dig_top.u_scan_mngr.dly_fault_r}</t>
        </r>
      </text>
    </comment>
    <comment ref="AI145" authorId="0" shapeId="0" xr:uid="{D4CA4C4A-DA5B-428F-8E81-18F9B847C035}">
      <text>
        <r>
          <rPr>
            <sz val="9"/>
            <color indexed="81"/>
            <rFont val="Tahoma"/>
            <family val="2"/>
          </rPr>
          <t>Field Name: iddq_mode_e_x000D_
Access Mode:RW_x000D_
Description:Iddq mode enable._x000D_
_x000D_
 {registered false} {hdl_path u_dig_top.u_scan_mngr.iddq_mode_r}</t>
        </r>
      </text>
    </comment>
    <comment ref="AJ145" authorId="0" shapeId="0" xr:uid="{1B910B72-EE19-4144-BE18-C26820074DF6}">
      <text>
        <r>
          <rPr>
            <sz val="9"/>
            <color indexed="81"/>
            <rFont val="Tahoma"/>
            <family val="2"/>
          </rPr>
          <t>Field Name: scan_mode_e_x000D_
Access Mode:RW_x000D_
Description:Scan mode enable._x000D_
When is read, always returns '0'._x000D_
_x000D_
 {registered false} {hdl_path u_dig_top.u_scan_mngr.scan_mode_r}</t>
        </r>
      </text>
    </comment>
    <comment ref="C147" authorId="0" shapeId="0" xr:uid="{1419BD96-3A60-47EE-94D8-240D72DFF95C}">
      <text>
        <r>
          <rPr>
            <sz val="9"/>
            <color indexed="81"/>
            <rFont val="Tahoma"/>
            <family val="2"/>
          </rPr>
          <t>Write lock: ""_x000D_
Read lock: "customer_register_lock_rd"</t>
        </r>
      </text>
    </comment>
    <comment ref="E147" authorId="0" shapeId="0" xr:uid="{6E133A29-CDC5-4C16-B274-9AA6C746D6EA}">
      <text>
        <r>
          <rPr>
            <sz val="9"/>
            <color indexed="81"/>
            <rFont val="Tahoma"/>
            <family val="2"/>
          </rPr>
          <t>Field Name: access_key_x000D_
Access Mode:WO_x000D_
Description:Access key. Always returns '0' on read._x000D_
_x000D_
 {hdl_path u_dig_top.u_dft_wrapper.u_scan_wrapper.u_functional_top.u_ids_top.u_direct_regmap.volatile_access_access_key_q} {registered false}</t>
        </r>
      </text>
    </comment>
    <comment ref="AA147" authorId="0" shapeId="0" xr:uid="{6544DE82-9BE0-412E-AB77-E8D939D65CED}">
      <text>
        <r>
          <rPr>
            <sz val="9"/>
            <color indexed="81"/>
            <rFont val="Tahoma"/>
            <family val="2"/>
          </rPr>
          <t>Field Name: factory_register_lock_wr_x000D_
Access Mode:RO_x000D_
Description: {hdl_path u_dig_top.u_dft_wrapper.u_scan_wrapper.u_functional_top.u_mem_lock_ctrlr.factory_register_lock_wr} {registered false}</t>
        </r>
      </text>
    </comment>
    <comment ref="AB147" authorId="0" shapeId="0" xr:uid="{B5C18C3C-A22A-4620-B4F7-60C2E5019994}">
      <text>
        <r>
          <rPr>
            <sz val="9"/>
            <color indexed="81"/>
            <rFont val="Tahoma"/>
            <family val="2"/>
          </rPr>
          <t>Field Name: factory_register_lock_rd_x000D_
Access Mode:RO_x000D_
Description: {hdl_path u_dig_top.u_dft_wrapper.u_scan_wrapper.u_functional_top.u_mem_lock_ctrlr.factory_register_lock_rd} {registered false}</t>
        </r>
      </text>
    </comment>
    <comment ref="AC147" authorId="0" shapeId="0" xr:uid="{607028E5-FA5F-45D4-86DB-4106CB88404D}">
      <text>
        <r>
          <rPr>
            <sz val="9"/>
            <color indexed="81"/>
            <rFont val="Tahoma"/>
            <family val="2"/>
          </rPr>
          <t>Field Name: factory_eeprom_lock_wr_x000D_
Access Mode:RO_x000D_
Description: {hdl_path u_dig_top.u_dft_wrapper.u_scan_wrapper.u_functional_top.u_mem_lock_ctrlr.factory_eeprom_lock_wr} {registered false}</t>
        </r>
      </text>
    </comment>
    <comment ref="AD147" authorId="0" shapeId="0" xr:uid="{329781DF-1656-4946-BE96-2D39B3E0AD45}">
      <text>
        <r>
          <rPr>
            <sz val="9"/>
            <color indexed="81"/>
            <rFont val="Tahoma"/>
            <family val="2"/>
          </rPr>
          <t>Field Name: factory_eeprom_lock_rd_x000D_
Access Mode:RO_x000D_
Description: {hdl_path u_dig_top.u_dft_wrapper.u_scan_wrapper.u_functional_top.u_mem_lock_ctrlr.factory_eeprom_lock_rd} {registered false}</t>
        </r>
      </text>
    </comment>
    <comment ref="AE147" authorId="0" shapeId="0" xr:uid="{27F3A0ED-8391-45DD-AA96-6FA8B088015B}">
      <text>
        <r>
          <rPr>
            <sz val="9"/>
            <color indexed="81"/>
            <rFont val="Tahoma"/>
            <family val="2"/>
          </rPr>
          <t>Field Name: customer_register_lock_wr_x000D_
Access Mode:RO_x000D_
Description: {hdl_path u_dig_top.u_dft_wrapper.u_scan_wrapper.u_functional_top.u_mem_lock_ctrlr.customer_register_lock_wr} {registered false}</t>
        </r>
      </text>
    </comment>
    <comment ref="AF147" authorId="0" shapeId="0" xr:uid="{6FB84A89-A52C-4A6E-B563-457A17F38D77}">
      <text>
        <r>
          <rPr>
            <sz val="9"/>
            <color indexed="81"/>
            <rFont val="Tahoma"/>
            <family val="2"/>
          </rPr>
          <t>Field Name: customer_register_lock_rd_x000D_
Access Mode:RO_x000D_
Description: {hdl_path u_dig_top.u_dft_wrapper.u_scan_wrapper.u_functional_top.u_mem_lock_ctrlr.customer_register_lock_rd} {registered false}</t>
        </r>
      </text>
    </comment>
    <comment ref="AG147" authorId="0" shapeId="0" xr:uid="{C322886E-6641-43BE-9D04-6638A26EFF19}">
      <text>
        <r>
          <rPr>
            <sz val="9"/>
            <color indexed="81"/>
            <rFont val="Tahoma"/>
            <family val="2"/>
          </rPr>
          <t>Field Name: customer_eeprom_lock_wr_x000D_
Access Mode:RO_x000D_
Description: {hdl_path u_dig_top.u_dft_wrapper.u_scan_wrapper.u_functional_top.u_mem_lock_ctrlr.customer_eeprom_lock_wr} {registered false}</t>
        </r>
      </text>
    </comment>
    <comment ref="AH147" authorId="0" shapeId="0" xr:uid="{BB54C1E8-7239-46C3-BD78-63A0552F048F}">
      <text>
        <r>
          <rPr>
            <sz val="9"/>
            <color indexed="81"/>
            <rFont val="Tahoma"/>
            <family val="2"/>
          </rPr>
          <t>Field Name: customer_eeprom_lock_rd_x000D_
Access Mode:RO_x000D_
Description: {hdl_path u_dig_top.u_dft_wrapper.u_scan_wrapper.u_functional_top.u_mem_lock_ctrlr.customer_eeprom_lock_rd} {registered false}</t>
        </r>
      </text>
    </comment>
    <comment ref="AI147" authorId="0" shapeId="0" xr:uid="{32EB398B-BB8E-409F-8CBC-62614D087B26}">
      <text>
        <r>
          <rPr>
            <sz val="9"/>
            <color indexed="81"/>
            <rFont val="Tahoma"/>
            <family val="2"/>
          </rPr>
          <t>Field Name: factory_access_x000D_
Access Mode:RO_x000D_
Description:Factory access enabled. This field is also part of the access code when is written, i.e. the access key is 32 bits wide._x000D_
0 = Factory closed._x000D_
1 = Factory open._x000D_
_x000D_
 {hdl_path u_dig_top.u_dft_wrapper.u_scan_wrapper.u_functional_top.u_ids_top.factory_access_in} {registered false}</t>
        </r>
      </text>
    </comment>
    <comment ref="AJ147" authorId="0" shapeId="0" xr:uid="{FD45CDD6-78FC-41B6-8DE9-DCB1C8134A2C}">
      <text>
        <r>
          <rPr>
            <sz val="9"/>
            <color indexed="81"/>
            <rFont val="Tahoma"/>
            <family val="2"/>
          </rPr>
          <t>Field Name: customer_access_x000D_
Access Mode:RO_x000D_
Description:Customer access enabled. This field is also part of the access code when is written, i.e. the access key is 32 bits wide._x000D_
0 = Customer closed._x000D_
1 = Customer open._x000D_
_x000D_
 {hdl_path u_dig_top.u_dft_wrapper.u_scan_wrapper.u_functional_top.u_ids_top.customer_access_in} {registered false}</t>
        </r>
      </text>
    </comment>
    <comment ref="C149" authorId="0" shapeId="0" xr:uid="{4846A43A-D622-4A91-9415-EB33049FA711}">
      <text>
        <r>
          <rPr>
            <sz val="9"/>
            <color indexed="81"/>
            <rFont val="Tahoma"/>
            <family val="2"/>
          </rPr>
          <t>Write lock: "factory_register_lock_wr"_x000D_
Read lock: "customer_register_lock_rd"</t>
        </r>
      </text>
    </comment>
    <comment ref="G149" authorId="0" shapeId="0" xr:uid="{2C707F8B-0D6A-4C41-841B-527305406111}">
      <text>
        <r>
          <rPr>
            <sz val="9"/>
            <color indexed="81"/>
            <rFont val="Tahoma"/>
            <family val="2"/>
          </rPr>
          <t>Field Name: die_source_code_x000D_
Access Mode:RO_x000D_
Description:DSC value (Rev_letter_1, Rev_letter_0, Part_number)._x000D_
[29:25]: Revision letter 1._x000D_
[24:20]: Revision letter 0._x000D_
[19:0]: 6-digits part number._x000D_
_x000D_
_x000D_
 {hdl_path u_dig_top.die_source_code} {registered false} {input_coupling true}</t>
        </r>
      </text>
    </comment>
    <comment ref="C167" authorId="0" shapeId="0" xr:uid="{5A92C0B9-6931-44EE-A9AF-9543FE139A8F}">
      <text>
        <r>
          <rPr>
            <sz val="9"/>
            <color indexed="81"/>
            <rFont val="Tahoma"/>
            <family val="2"/>
          </rPr>
          <t>Write lock: "factory_register_lock_wr"_x000D_
Read lock: "customer_register_lock_rd"</t>
        </r>
      </text>
    </comment>
    <comment ref="Z167" authorId="0" shapeId="0" xr:uid="{1652671C-B6DE-4315-9A42-8EAB7641956A}">
      <text>
        <r>
          <rPr>
            <sz val="9"/>
            <color indexed="81"/>
            <rFont val="Tahoma"/>
            <family val="2"/>
          </rPr>
          <t>Field Name: tm_spare_x000D_
Access Mode:RW_x000D_
Description:Spare test modes._x000D_
_x000D_
 {hdl_path tm_spare_q} {u_block_volatile_output true}</t>
        </r>
      </text>
    </comment>
    <comment ref="AD167" authorId="0" shapeId="0" xr:uid="{6F3C8145-C38B-463D-9918-E554E2FB720F}">
      <text>
        <r>
          <rPr>
            <sz val="9"/>
            <color indexed="81"/>
            <rFont val="Tahoma"/>
            <family val="2"/>
          </rPr>
          <t>Field Name: tm_scoil_hf_x000D_
Access Mode:RW_x000D_
Description:When '1', secondary coil (if not disable) runs at frequency selected by coil_freq EEPROM field._x000D_
_x000D_
 {hdl_path tm_scoil_hf_q} {u_block_volatile_output true}</t>
        </r>
      </text>
    </comment>
    <comment ref="AE167" authorId="0" shapeId="0" xr:uid="{9DC1E70E-57AA-43EF-85F1-555033D4F0DE}">
      <text>
        <r>
          <rPr>
            <sz val="9"/>
            <color indexed="81"/>
            <rFont val="Tahoma"/>
            <family val="2"/>
          </rPr>
          <t>Field Name: tm_tmr_clk_dis_x000D_
Access Mode:RW_x000D_
Description:When '1', TMR clock is disabled (held on a constant value)._x000D_
_x000D_
 {hdl_path tm_tmr_clk_dis_q} {u_block_volatile_output true}</t>
        </r>
      </text>
    </comment>
    <comment ref="AF167" authorId="0" shapeId="0" xr:uid="{ADE4D7D3-B4FD-4C2D-8076-707A7E2A6D5E}">
      <text>
        <r>
          <rPr>
            <sz val="9"/>
            <color indexed="81"/>
            <rFont val="Tahoma"/>
            <family val="2"/>
          </rPr>
          <t>Field Name: tm_tmr_clk_pol_x000D_
Access Mode:RW_x000D_
Description:When tm_tmr_clk_dis='1', selects the polarity of the TRM clock._x000D_
_x000D_
 {hdl_path tm_tmr_clk_pol_q} {u_block_volatile_output true}</t>
        </r>
      </text>
    </comment>
    <comment ref="AG167" authorId="0" shapeId="0" xr:uid="{BDC12A5F-F2E7-4A63-9BBB-B05433DF9C28}">
      <text>
        <r>
          <rPr>
            <sz val="9"/>
            <color indexed="81"/>
            <rFont val="Tahoma"/>
            <family val="2"/>
          </rPr>
          <t>Field Name: tm_clk2out_x000D_
Access Mode:RW_x000D_
Description:When '1', the output is driven by the clock divided by 1024._x000D_
_x000D_
 {hdl_path tm_clk2out_q} {u_block_volatile_output true}</t>
        </r>
      </text>
    </comment>
    <comment ref="AH167" authorId="0" shapeId="0" xr:uid="{06E3E45A-D8CA-4850-8BF4-7669798F7ED8}">
      <text>
        <r>
          <rPr>
            <sz val="9"/>
            <color indexed="81"/>
            <rFont val="Tahoma"/>
            <family val="2"/>
          </rPr>
          <t>Field Name: tm_force_out_z_x000D_
Access Mode:RW_x000D_
Description:When '1', forces the output to high-Z state. This one has precedence over tm_force_out_low_x000D_
_x000D_
 {hdl_path tm_force_out_z_q} {u_block_volatile_output true}</t>
        </r>
      </text>
    </comment>
    <comment ref="AI167" authorId="0" shapeId="0" xr:uid="{F96B971B-C160-44EA-9246-8F3AD164444A}">
      <text>
        <r>
          <rPr>
            <sz val="9"/>
            <color indexed="81"/>
            <rFont val="Tahoma"/>
            <family val="2"/>
          </rPr>
          <t>Field Name: tm_force_out_low_x000D_
Access Mode:RW_x000D_
Description:When '1', forces the output to LOW state._x000D_
_x000D_
 {hdl_path tm_force_out_low_q} {u_block_volatile_output true}</t>
        </r>
      </text>
    </comment>
    <comment ref="AJ167" authorId="0" shapeId="0" xr:uid="{4ECBAC62-4430-4031-8950-BF5ECE7BB7B5}">
      <text>
        <r>
          <rPr>
            <sz val="9"/>
            <color indexed="81"/>
            <rFont val="Tahoma"/>
            <family val="2"/>
          </rPr>
          <t>Field Name: tm_mcoil_dis_x000D_
Access Mode:RW_x000D_
Description:When '1', the main coil is disabled._x000D_
_x000D_
 {hdl_path tm_mcoil_dis_q} {u_block_volatile_output true}</t>
        </r>
      </text>
    </comment>
    <comment ref="C169" authorId="0" shapeId="0" xr:uid="{FEEBC791-F87F-41B9-98A4-712B652E545D}">
      <text>
        <r>
          <rPr>
            <sz val="9"/>
            <color indexed="81"/>
            <rFont val="Tahoma"/>
            <family val="2"/>
          </rPr>
          <t>Write lock: "factory_register_lock_wr"_x000D_
Read lock: "customer_register_lock_rd"</t>
        </r>
      </text>
    </comment>
    <comment ref="W169" authorId="0" shapeId="0" xr:uid="{C7F7F134-B5A9-476E-A188-F09204AC06D6}">
      <text>
        <r>
          <rPr>
            <sz val="9"/>
            <color indexed="81"/>
            <rFont val="Tahoma"/>
            <family val="2"/>
          </rPr>
          <t>Field Name: d_tm_spare_x000D_
Access Mode:RW_x000D_
Description:Spare test modes for analog domain._x000D_
_x000D_
_x000D_
_x000D_
 {output_coupling true} {scan_val 0} {hdl_path d_tm_spare_q} {u_block_volatile_output true}</t>
        </r>
      </text>
    </comment>
    <comment ref="AD169" authorId="0" shapeId="0" xr:uid="{4332BB6A-7314-47CB-BF46-8C30D095041E}">
      <text>
        <r>
          <rPr>
            <sz val="9"/>
            <color indexed="81"/>
            <rFont val="Tahoma"/>
            <family val="2"/>
          </rPr>
          <t>Field Name: d_tm_coil_sftshrt_e_x000D_
Access Mode:RW_x000D_
Description: {output_coupling true} {scan_val 0} {hdl_path d_tm_coil_sftshrt_e_q} {u_block_volatile_output true}</t>
        </r>
      </text>
    </comment>
    <comment ref="AE169" authorId="0" shapeId="0" xr:uid="{AB3B2556-8764-4838-AEA0-D25A7C1891B3}">
      <text>
        <r>
          <rPr>
            <sz val="9"/>
            <color indexed="81"/>
            <rFont val="Tahoma"/>
            <family val="2"/>
          </rPr>
          <t>Field Name: d_tm_pok_ps_x000D_
Access Mode:RW_x000D_
Description:When '1', the power system POK output is forced to be '1' regardless the current VCC value._x000D_
_x000D_
_x000D_
_x000D_
 {output_coupling true} {scan_val 0} {hdl_path d_tm_pok_ps_q} {u_block_volatile_output true}</t>
        </r>
      </text>
    </comment>
    <comment ref="AF169" authorId="0" shapeId="0" xr:uid="{BF50C467-64A8-4222-B60D-A6193D9F4F18}">
      <text>
        <r>
          <rPr>
            <sz val="9"/>
            <color indexed="81"/>
            <rFont val="Tahoma"/>
            <family val="2"/>
          </rPr>
          <t>Field Name: d_tm_load_e_x000D_
Access Mode:RW_x000D_
Description:Load test for analog buffers. Before activating this test mode, the tm_mcoil_dis must be set high._x000D_
_x000D_
_x000D_
_x000D_
 {output_coupling true} {scan_val 0} {hdl_path d_tm_load_e_q} {u_block_volatile_output true}</t>
        </r>
      </text>
    </comment>
    <comment ref="AG169" authorId="0" shapeId="0" xr:uid="{953638F2-44EC-4E97-9C0B-B2D01A256C46}">
      <text>
        <r>
          <rPr>
            <sz val="9"/>
            <color indexed="81"/>
            <rFont val="Tahoma"/>
            <family val="2"/>
          </rPr>
          <t>Field Name: d_tm_sd_short_2_x000D_
Access Mode:RW_x000D_
Description:When '1', the input to CTSDM channel 2 is shorted._x000D_
_x000D_
_x000D_
_x000D_
 {output_coupling true} {scan_val 0} {hdl_path d_tm_sd_short_2_q} {u_block_volatile_output true}</t>
        </r>
      </text>
    </comment>
    <comment ref="AH169" authorId="0" shapeId="0" xr:uid="{81C87E17-3F51-4DF1-BAAF-D3F12514C973}">
      <text>
        <r>
          <rPr>
            <sz val="9"/>
            <color indexed="81"/>
            <rFont val="Tahoma"/>
            <family val="2"/>
          </rPr>
          <t>Field Name: d_tm_sd_short_1_x000D_
Access Mode:RW_x000D_
Description:When '1', the input to CTSDM channel 1 is shorted._x000D_
_x000D_
_x000D_
_x000D_
 {output_coupling true} {scan_val 0} {hdl_path d_tm_sd_short_1_q} {u_block_volatile_output true}</t>
        </r>
      </text>
    </comment>
    <comment ref="AI169" authorId="0" shapeId="0" xr:uid="{DADD8664-3916-4A76-89D9-4A41795D2EFB}">
      <text>
        <r>
          <rPr>
            <sz val="9"/>
            <color indexed="81"/>
            <rFont val="Tahoma"/>
            <family val="2"/>
          </rPr>
          <t>Field Name: d_tm_afe_short_2_x000D_
Access Mode:RW_x000D_
Description:When '1', the input to AFE channel 2 is shorted._x000D_
_x000D_
_x000D_
_x000D_
 {output_coupling true} {scan_val 0} {hdl_path d_tm_afe_short_2_q} {u_block_volatile_output true}</t>
        </r>
      </text>
    </comment>
    <comment ref="AJ169" authorId="0" shapeId="0" xr:uid="{7C79352D-1EAB-49B5-98A9-D64C25FDE26D}">
      <text>
        <r>
          <rPr>
            <sz val="9"/>
            <color indexed="81"/>
            <rFont val="Tahoma"/>
            <family val="2"/>
          </rPr>
          <t>Field Name: d_tm_afe_short_1_x000D_
Access Mode:RW_x000D_
Description:When '1', the input to AFE channel 1 is shorted._x000D_
_x000D_
_x000D_
_x000D_
 {output_coupling true} {scan_val 0} {hdl_path d_tm_afe_short_1_q} {u_block_volatile_output true}</t>
        </r>
      </text>
    </comment>
    <comment ref="C171" authorId="0" shapeId="0" xr:uid="{13FE6200-C91A-4FA8-8CBE-9398EAE7ABE2}">
      <text>
        <r>
          <rPr>
            <sz val="9"/>
            <color indexed="81"/>
            <rFont val="Tahoma"/>
            <family val="2"/>
          </rPr>
          <t>Write lock: "factory_register_lock_wr"_x000D_
Read lock: "customer_register_lock_rd"</t>
        </r>
      </text>
    </comment>
    <comment ref="AB171" authorId="0" shapeId="0" xr:uid="{2872387F-2E89-4A1C-8860-78D1EE517240}">
      <text>
        <r>
          <rPr>
            <sz val="9"/>
            <color indexed="81"/>
            <rFont val="Tahoma"/>
            <family val="2"/>
          </rPr>
          <t>Field Name: d_de_mux_sel_x000D_
Access Mode:RW_x000D_
Description:Debugging probe pad selection._x000D_
'0000': GND._x000D_
'0001': TMR1_N, TMR1_P_x000D_
'0010': TMR2_N, TMR2_P_x000D_
'0011': TMRAMP1_N, TMRAMP1_P_x000D_
'0100': TMRAMP2_N, TMRAMP2_P_x000D_
'0101': FEOUT1_N, FEAOUT1_P._x000D_
'0110': FEOUT2_N, FEAOUT2_P._x000D_
'0111': SDM1, CK_SDM_x000D_
'1000': SDM2, CK_SDM_x000D_
_x000D_
_x000D_
_x000D_
 {output_coupling true} {scan_val 0} {hdl_path d_de_mux_sel_q} {u_block_volatile_output true}</t>
        </r>
      </text>
    </comment>
    <comment ref="AG171" authorId="0" shapeId="0" xr:uid="{26DA9799-F4C5-4151-8506-3F0B533BAD2F}">
      <text>
        <r>
          <rPr>
            <sz val="9"/>
            <color indexed="81"/>
            <rFont val="Tahoma"/>
            <family val="2"/>
          </rPr>
          <t>Field Name: d_pe_amux_sel_x000D_
Access Mode:RW_x000D_
Description:Output analog mux selection._x000D_
'0000': Digital output._x000D_
'0001': VBGint_x000D_
'0010': VREF 1V_x000D_
'0011': IB10N_FLAT_TRIMMED_x000D_
'0100': VPOSA_COIL_x000D_
'0101': VPOSA_CLEAN_x000D_
'0110': VPOSA_NOISY_x000D_
'0111': VTMR_N_x000D_
'1000': VTMR_P_x000D_
'1001': IOSC_COPY_x000D_
'1010': CMREF_SDM_x000D_
'1011': VPOS_LV_x000D_
'1100': VPOSD _x000D_
'1101': ISECOIL_x000D_
'1110': EE_CPDIV_x000D_
'1111': EE_REFOUT_x000D_
_x000D_
_x000D_
_x000D_
 {output_coupling true} {scan_val 0} {hdl_path d_pe_amux_sel_q} {u_block_volatile_output true}</t>
        </r>
      </text>
    </comment>
    <comment ref="C173" authorId="0" shapeId="0" xr:uid="{6577B4E8-63B5-4C38-AC3D-F2D39CD1F0B4}">
      <text>
        <r>
          <rPr>
            <sz val="9"/>
            <color indexed="81"/>
            <rFont val="Tahoma"/>
            <family val="2"/>
          </rPr>
          <t>Write lock: "factory_register_lock_wr"_x000D_
Read lock: "customer_register_lock_rd"</t>
        </r>
      </text>
    </comment>
    <comment ref="R173" authorId="0" shapeId="0" xr:uid="{8E47AFED-5BC7-45EF-A46A-178D12C4E587}">
      <text>
        <r>
          <rPr>
            <sz val="9"/>
            <color indexed="81"/>
            <rFont val="Tahoma"/>
            <family val="2"/>
          </rPr>
          <t>Field Name: p_x000D_
Access Mode:RO_x000D_
Description:Normalized position after divisor._x000D_
_x000D_
 {registered false} {hdl_path p_toids}</t>
        </r>
      </text>
    </comment>
    <comment ref="C175" authorId="0" shapeId="0" xr:uid="{4C552C3F-DA9D-4F28-8375-71359F5186C5}">
      <text>
        <r>
          <rPr>
            <sz val="9"/>
            <color indexed="81"/>
            <rFont val="Tahoma"/>
            <family val="2"/>
          </rPr>
          <t>Write lock: "factory_register_lock_wr"_x000D_
Read lock: "customer_register_lock_rd"</t>
        </r>
      </text>
    </comment>
    <comment ref="E175" authorId="0" shapeId="0" xr:uid="{A0320724-EDDA-4AA5-92DF-05DF29951591}">
      <text>
        <r>
          <rPr>
            <sz val="9"/>
            <color indexed="81"/>
            <rFont val="Tahoma"/>
            <family val="2"/>
          </rPr>
          <t>Field Name: v2_x000D_
Access Mode:RO_x000D_
Description:TMR2 sensed value._x000D_
_x000D_
 {registered false} {hdl_path v1_toids}</t>
        </r>
      </text>
    </comment>
    <comment ref="U175" authorId="0" shapeId="0" xr:uid="{62FF2E62-2F3B-48DB-A170-2341A2B1FB11}">
      <text>
        <r>
          <rPr>
            <sz val="9"/>
            <color indexed="81"/>
            <rFont val="Tahoma"/>
            <family val="2"/>
          </rPr>
          <t>Field Name: v1_x000D_
Access Mode:RO_x000D_
Description:TMR1 sensed value._x000D_
_x000D_
 {registered false} {hdl_path v2_toids}</t>
        </r>
      </text>
    </comment>
    <comment ref="C177" authorId="0" shapeId="0" xr:uid="{5B75217B-B6D0-42EB-9EFE-E2613FFB3A1C}">
      <text>
        <r>
          <rPr>
            <sz val="9"/>
            <color indexed="81"/>
            <rFont val="Tahoma"/>
            <family val="2"/>
          </rPr>
          <t>Write lock: "factory_register_lock_wr"_x000D_
Read lock: "customer_register_lock_rd"</t>
        </r>
      </text>
    </comment>
    <comment ref="E177" authorId="0" shapeId="0" xr:uid="{0B6EE125-5104-4EAB-AF70-F48AE2B7BCD4}">
      <text>
        <r>
          <rPr>
            <sz val="9"/>
            <color indexed="81"/>
            <rFont val="Tahoma"/>
            <family val="2"/>
          </rPr>
          <t>Field Name: v1_p_v2_div2_x000D_
Access Mode:RO_x000D_
Description:V1 plus V2 divided by 2._x000D_
_x000D_
 {registered false} {hdl_path v1_ p_v2_div2_toids}</t>
        </r>
      </text>
    </comment>
    <comment ref="U177" authorId="0" shapeId="0" xr:uid="{A0580C46-4FB1-40CE-9E7B-70D468405A1C}">
      <text>
        <r>
          <rPr>
            <sz val="9"/>
            <color indexed="81"/>
            <rFont val="Tahoma"/>
            <family val="2"/>
          </rPr>
          <t>Field Name: v1_m_v2_div2_x000D_
Access Mode:RO_x000D_
Description:V1 minus V2 divided by 2._x000D_
_x000D_
 {registered false} {hdl_path v1_m_v2_div2_toids}</t>
        </r>
      </text>
    </comment>
    <comment ref="C179" authorId="0" shapeId="0" xr:uid="{03565217-39F0-40B7-B092-CF5D8D5CC943}">
      <text>
        <r>
          <rPr>
            <sz val="9"/>
            <color indexed="81"/>
            <rFont val="Tahoma"/>
            <family val="2"/>
          </rPr>
          <t>Write lock: "factory_register_lock_wr"_x000D_
Read lock: "customer_register_lock_rd"</t>
        </r>
      </text>
    </comment>
    <comment ref="E179" authorId="0" shapeId="0" xr:uid="{A67E7DDF-C06C-452E-A38B-8287BD3755AA}">
      <text>
        <r>
          <rPr>
            <sz val="9"/>
            <color indexed="81"/>
            <rFont val="Tahoma"/>
            <family val="2"/>
          </rPr>
          <t>Field Name: rrl_cic2_out_2_x000D_
Access Mode:RO_x000D_
Description:Output of RRL CIC (channel 2)._x000D_
_x000D_
 {registered false} {hdl_path rrl_cic_out_2_toids}</t>
        </r>
      </text>
    </comment>
    <comment ref="U179" authorId="0" shapeId="0" xr:uid="{7FADAF25-F3EF-4D11-AA23-9320760010BB}">
      <text>
        <r>
          <rPr>
            <sz val="9"/>
            <color indexed="81"/>
            <rFont val="Tahoma"/>
            <family val="2"/>
          </rPr>
          <t>Field Name: rrl_cic2_out_1_x000D_
Access Mode:RO_x000D_
Description:Output of RRL CIC (channel 1)._x000D_
_x000D_
 {registered false} {hdl_path rrl_cic2_out_1_toids}</t>
        </r>
      </text>
    </comment>
    <comment ref="C181" authorId="0" shapeId="0" xr:uid="{DD5FE050-CCA8-4D01-BA1E-18160AE600F1}">
      <text>
        <r>
          <rPr>
            <sz val="9"/>
            <color indexed="81"/>
            <rFont val="Tahoma"/>
            <family val="2"/>
          </rPr>
          <t>Write lock: "factory_register_lock_wr"_x000D_
Read lock: "customer_register_lock_rd"</t>
        </r>
      </text>
    </comment>
    <comment ref="E181" authorId="0" shapeId="0" xr:uid="{604D2E73-8BD5-4E66-AAA5-A026E4E42BD3}">
      <text>
        <r>
          <rPr>
            <sz val="9"/>
            <color indexed="81"/>
            <rFont val="Tahoma"/>
            <family val="2"/>
          </rPr>
          <t>Field Name: rrl_int_out_2_x000D_
Access Mode:RO_x000D_
Description:RRL integrator value (channel 2)._x000D_
_x000D_
 {registered false} {hdl_path rrl_int_out_2_toids}</t>
        </r>
      </text>
    </comment>
    <comment ref="U181" authorId="0" shapeId="0" xr:uid="{8B49B05D-1F9E-4EF8-A127-789A7475628D}">
      <text>
        <r>
          <rPr>
            <sz val="9"/>
            <color indexed="81"/>
            <rFont val="Tahoma"/>
            <family val="2"/>
          </rPr>
          <t>Field Name: rrl_int_out_1_x000D_
Access Mode:RO_x000D_
Description:RRL integrator value (channel 1)._x000D_
_x000D_
 {registered false} {hdl_path rrl_int_out_1_toids}</t>
        </r>
      </text>
    </comment>
    <comment ref="C183" authorId="0" shapeId="0" xr:uid="{3EF643A9-40C5-4F79-8A77-49785647EFEE}">
      <text>
        <r>
          <rPr>
            <sz val="9"/>
            <color indexed="81"/>
            <rFont val="Tahoma"/>
            <family val="2"/>
          </rPr>
          <t>Write lock: "factory_register_lock_wr"_x000D_
Read lock: "customer_register_lock_rd"</t>
        </r>
      </text>
    </comment>
    <comment ref="U183" authorId="0" shapeId="0" xr:uid="{80FB21E8-893D-4E9C-A30B-D716DEE2973F}">
      <text>
        <r>
          <rPr>
            <sz val="9"/>
            <color indexed="81"/>
            <rFont val="Tahoma"/>
            <family val="2"/>
          </rPr>
          <t>Field Name: rrl_feedback_2_x000D_
Access Mode:RO_x000D_
Description:RRL feedback DAC value (channel 2)._x000D_
_x000D_
 {registered false} {hdl_path rrl_feedback_2_toids}</t>
        </r>
      </text>
    </comment>
    <comment ref="AC183" authorId="0" shapeId="0" xr:uid="{5F8BCF0D-038A-45BE-9A4B-5994F0047323}">
      <text>
        <r>
          <rPr>
            <sz val="9"/>
            <color indexed="81"/>
            <rFont val="Tahoma"/>
            <family val="2"/>
          </rPr>
          <t>Field Name: rrl_feedback_1_x000D_
Access Mode:RO_x000D_
Description:RRL feedback DAC value (channel 1)._x000D_
_x000D_
 {registered false} {hdl_path rrl_feedback_1_toids}</t>
        </r>
      </text>
    </comment>
    <comment ref="C185" authorId="0" shapeId="0" xr:uid="{711F4384-F9B0-4176-BBE0-8B5CAB082F49}">
      <text>
        <r>
          <rPr>
            <sz val="9"/>
            <color indexed="81"/>
            <rFont val="Tahoma"/>
            <family val="2"/>
          </rPr>
          <t>Write lock: "factory_register_lock_wr"_x000D_
Read lock: "customer_register_lock_rd"</t>
        </r>
      </text>
    </comment>
    <comment ref="R185" authorId="0" shapeId="0" xr:uid="{17010242-921F-4FD1-ADE0-66E5B6E03685}">
      <text>
        <r>
          <rPr>
            <sz val="9"/>
            <color indexed="81"/>
            <rFont val="Tahoma"/>
            <family val="2"/>
          </rPr>
          <t>Field Name: dac_tmr_x000D_
Access Mode:RO_x000D_
Description:TMR voltage supply value._x000D_
_x000D_
 {registered false} {hdl_path dac_tmr_toids}</t>
        </r>
      </text>
    </comment>
    <comment ref="Y185" authorId="0" shapeId="0" xr:uid="{02A0839F-BDCE-4C84-99B1-5E15DBD317CF}">
      <text>
        <r>
          <rPr>
            <sz val="9"/>
            <color indexed="81"/>
            <rFont val="Tahoma"/>
            <family val="2"/>
          </rPr>
          <t>Field Name: tt_temp_x000D_
Access Mode:RO_x000D_
Description:Tiny_temp sensed temperature._x000D_
_x000D_
 {registered false} {hdl_path tt_temp_toids}</t>
        </r>
      </text>
    </comment>
    <comment ref="C187" authorId="0" shapeId="0" xr:uid="{5CB4E154-0D79-41C3-B9FF-233F8BCD0DBA}">
      <text>
        <r>
          <rPr>
            <sz val="9"/>
            <color indexed="81"/>
            <rFont val="Tahoma"/>
            <family val="2"/>
          </rPr>
          <t>Write lock: "factory_register_lock_wr"_x000D_
Read lock: "customer_register_lock_rd"</t>
        </r>
      </text>
    </comment>
    <comment ref="E187" authorId="0" shapeId="0" xr:uid="{501FA4D7-7614-40A1-937A-A04CFCC2CDA1}">
      <text>
        <r>
          <rPr>
            <sz val="9"/>
            <color indexed="81"/>
            <rFont val="Tahoma"/>
            <family val="2"/>
          </rPr>
          <t>Field Name: a2_x000D_
Access Mode:RO_x000D_
Description: {registered false} {hdl_path a2_toids}</t>
        </r>
      </text>
    </comment>
    <comment ref="U187" authorId="0" shapeId="0" xr:uid="{A5D91DF1-52FF-4684-834E-BB36F7060DEF}">
      <text>
        <r>
          <rPr>
            <sz val="9"/>
            <color indexed="81"/>
            <rFont val="Tahoma"/>
            <family val="2"/>
          </rPr>
          <t>Field Name: a1_x000D_
Access Mode:RO_x000D_
Description: {registered false} {hdl_path a1_toids}</t>
        </r>
      </text>
    </comment>
    <comment ref="C189" authorId="0" shapeId="0" xr:uid="{26494154-D198-4C8A-8614-61C1090E9998}">
      <text>
        <r>
          <rPr>
            <sz val="9"/>
            <color indexed="81"/>
            <rFont val="Tahoma"/>
            <family val="2"/>
          </rPr>
          <t>Write lock: "factory_register_lock_wr"_x000D_
Read lock: "customer_register_lock_rd"</t>
        </r>
      </text>
    </comment>
    <comment ref="E189" authorId="0" shapeId="0" xr:uid="{6FBD5748-6A57-4BAA-AE94-AC68D54A6596}">
      <text>
        <r>
          <rPr>
            <sz val="9"/>
            <color indexed="81"/>
            <rFont val="Tahoma"/>
            <family val="2"/>
          </rPr>
          <t>Field Name: vo2_x000D_
Access Mode:RO_x000D_
Description: {registered false} {hdl_path vo2_toids}</t>
        </r>
      </text>
    </comment>
    <comment ref="U189" authorId="0" shapeId="0" xr:uid="{9BEA4286-E90B-4D6F-AE12-FD1FE71DF646}">
      <text>
        <r>
          <rPr>
            <sz val="9"/>
            <color indexed="81"/>
            <rFont val="Tahoma"/>
            <family val="2"/>
          </rPr>
          <t>Field Name: vo1_x000D_
Access Mode:RO_x000D_
Description: {registered false} {hdl_path vo1_toids}</t>
        </r>
      </text>
    </comment>
    <comment ref="C191" authorId="0" shapeId="0" xr:uid="{D5E32FB7-C1F0-464C-8869-33C9AA132015}">
      <text>
        <r>
          <rPr>
            <sz val="9"/>
            <color indexed="81"/>
            <rFont val="Tahoma"/>
            <family val="2"/>
          </rPr>
          <t>Write lock: "factory_register_lock_wr"_x000D_
Read lock: "customer_register_lock_rd"</t>
        </r>
      </text>
    </comment>
    <comment ref="E191" authorId="0" shapeId="0" xr:uid="{395CBEE4-D025-4107-9285-83DD621CEA31}">
      <text>
        <r>
          <rPr>
            <sz val="9"/>
            <color indexed="81"/>
            <rFont val="Tahoma"/>
            <family val="2"/>
          </rPr>
          <t>Field Name: v2_m_vo2_x000D_
Access Mode:RO_x000D_
Description: {registered false} {hdl_path v2_m_vo2_toids}</t>
        </r>
      </text>
    </comment>
    <comment ref="U191" authorId="0" shapeId="0" xr:uid="{32C4DAF6-633E-4727-967F-F5A8C645108A}">
      <text>
        <r>
          <rPr>
            <sz val="9"/>
            <color indexed="81"/>
            <rFont val="Tahoma"/>
            <family val="2"/>
          </rPr>
          <t>Field Name: v1_m_vo1_x000D_
Access Mode:RO_x000D_
Description: {registered false} {hdl_path v1_m_vo1_toids}</t>
        </r>
      </text>
    </comment>
    <comment ref="C193" authorId="0" shapeId="0" xr:uid="{FC93F8A2-67C2-4F69-8D61-95A7A30BD117}">
      <text>
        <r>
          <rPr>
            <sz val="9"/>
            <color indexed="81"/>
            <rFont val="Tahoma"/>
            <family val="2"/>
          </rPr>
          <t>Write lock: "factory_register_lock_wr"_x000D_
Read lock: "customer_register_lock_rd"</t>
        </r>
      </text>
    </comment>
    <comment ref="E193" authorId="0" shapeId="0" xr:uid="{F7A4A1F8-6924-491F-894F-EB969F065E62}">
      <text>
        <r>
          <rPr>
            <sz val="9"/>
            <color indexed="81"/>
            <rFont val="Tahoma"/>
            <family val="2"/>
          </rPr>
          <t>Field Name: v2_comp_x000D_
Access Mode:RO_x000D_
Description: {registered false} {hdl_path v2_comp_toids}</t>
        </r>
      </text>
    </comment>
    <comment ref="U193" authorId="0" shapeId="0" xr:uid="{64AAECC6-49AC-4BEF-B052-85D48723BDC4}">
      <text>
        <r>
          <rPr>
            <sz val="9"/>
            <color indexed="81"/>
            <rFont val="Tahoma"/>
            <family val="2"/>
          </rPr>
          <t>Field Name: v1_comp_x000D_
Access Mode:RO_x000D_
Description: {registered false} {hdl_path v1_comp_toids}</t>
        </r>
      </text>
    </comment>
    <comment ref="C195" authorId="0" shapeId="0" xr:uid="{0510ABE8-0D0A-4A5C-BCEA-A24DF59DAA20}">
      <text>
        <r>
          <rPr>
            <sz val="9"/>
            <color indexed="81"/>
            <rFont val="Tahoma"/>
            <family val="2"/>
          </rPr>
          <t>Write lock: "factory_register_lock_wr"_x000D_
Read lock: "customer_register_lock_rd"</t>
        </r>
      </text>
    </comment>
    <comment ref="E195" authorId="0" shapeId="0" xr:uid="{EEC5BA2A-1D0F-49EF-86C1-C3A2898F4932}">
      <text>
        <r>
          <rPr>
            <sz val="9"/>
            <color indexed="81"/>
            <rFont val="Tahoma"/>
            <family val="2"/>
          </rPr>
          <t>Field Name: kr_x000D_
Access Mode:RO_x000D_
Description: {registered false} {hdl_path kr_toids}</t>
        </r>
      </text>
    </comment>
    <comment ref="U195" authorId="0" shapeId="0" xr:uid="{2414396C-B67A-4399-A1DD-146830D0C6D6}">
      <text>
        <r>
          <rPr>
            <sz val="9"/>
            <color indexed="81"/>
            <rFont val="Tahoma"/>
            <family val="2"/>
          </rPr>
          <t>Field Name: p_m_delta_d_x000D_
Access Mode:RO_x000D_
Description: {registered false} {hdl_path p_m_delta_d_toids}</t>
        </r>
      </text>
    </comment>
    <comment ref="C197" authorId="0" shapeId="0" xr:uid="{B7B4B6CA-542C-4D2C-8C59-CF3B585293BD}">
      <text>
        <r>
          <rPr>
            <sz val="9"/>
            <color indexed="81"/>
            <rFont val="Tahoma"/>
            <family val="2"/>
          </rPr>
          <t>Write lock: "factory_register_lock_wr"_x000D_
Read lock: "customer_register_lock_rd"</t>
        </r>
      </text>
    </comment>
    <comment ref="T197" authorId="0" shapeId="0" xr:uid="{099834A5-5BCC-49E3-9E1B-BB62A012892C}">
      <text>
        <r>
          <rPr>
            <sz val="9"/>
            <color indexed="81"/>
            <rFont val="Tahoma"/>
            <family val="2"/>
          </rPr>
          <t>Field Name: rrl_lock_x000D_
Access Mode:RO_x000D_
Description:When '1', RRL is locked._x000D_
_x000D_
 {registered false} {hdl_path rrl_lock_toids}</t>
        </r>
      </text>
    </comment>
    <comment ref="U197" authorId="0" shapeId="0" xr:uid="{6C83837A-4EA8-4731-AD64-1D1B1A1471F5}">
      <text>
        <r>
          <rPr>
            <sz val="9"/>
            <color indexed="81"/>
            <rFont val="Tahoma"/>
            <family val="2"/>
          </rPr>
          <t>Field Name: kr_m_offset_x000D_
Access Mode:RO_x000D_
Description: {registered false} {hdl_path kr_m_offset_toids}</t>
        </r>
      </text>
    </comment>
    <comment ref="C199" authorId="0" shapeId="0" xr:uid="{ACC1755E-E208-4C4E-9A98-8B072FB71A4E}">
      <text>
        <r>
          <rPr>
            <sz val="9"/>
            <color indexed="81"/>
            <rFont val="Tahoma"/>
            <family val="2"/>
          </rPr>
          <t>Write lock: "factory_register_lock_wr"_x000D_
Read lock: "customer_register_lock_rd"</t>
        </r>
      </text>
    </comment>
    <comment ref="E199" authorId="0" shapeId="0" xr:uid="{017ADD19-E8A8-4591-B2FB-23CC223F57AC}">
      <text>
        <r>
          <rPr>
            <sz val="9"/>
            <color indexed="81"/>
            <rFont val="Tahoma"/>
            <family val="2"/>
          </rPr>
          <t>Field Name: v2_sec_x000D_
Access Mode:RO_x000D_
Description: {registered false} {hdl_path v2_sec_toids}</t>
        </r>
      </text>
    </comment>
    <comment ref="U199" authorId="0" shapeId="0" xr:uid="{214A2A59-72DC-48D4-8021-0727EEA8F546}">
      <text>
        <r>
          <rPr>
            <sz val="9"/>
            <color indexed="81"/>
            <rFont val="Tahoma"/>
            <family val="2"/>
          </rPr>
          <t>Field Name: v1_sec_x000D_
Access Mode:RO_x000D_
Description: {registered false} {hdl_path v1_sec_toids}</t>
        </r>
      </text>
    </comment>
    <comment ref="C201" authorId="0" shapeId="0" xr:uid="{03DAD0BF-DB9A-462A-8AF1-5E9E524AEA92}">
      <text>
        <r>
          <rPr>
            <sz val="9"/>
            <color indexed="81"/>
            <rFont val="Tahoma"/>
            <family val="2"/>
          </rPr>
          <t>Write lock: "factory_register_lock_wr"_x000D_
Read lock: "customer_register_lock_rd"</t>
        </r>
      </text>
    </comment>
    <comment ref="E201" authorId="0" shapeId="0" xr:uid="{F68D0E14-A0CA-49A5-9ACD-89CBF9C6898B}">
      <text>
        <r>
          <rPr>
            <sz val="9"/>
            <color indexed="81"/>
            <rFont val="Tahoma"/>
            <family val="2"/>
          </rPr>
          <t>Field Name: kr_comp_x000D_
Access Mode:RO_x000D_
Description:Compensated KR (after trimming + factory gain-offset + customer gain-offset, input to the BW_sel LPF)._x000D_
_x000D_
 {registered false} {hdl_path kr_comp_toids}</t>
        </r>
      </text>
    </comment>
    <comment ref="C203" authorId="0" shapeId="0" xr:uid="{75D836BB-595D-43A0-8B03-385628AEF0BF}">
      <text>
        <r>
          <rPr>
            <sz val="9"/>
            <color indexed="81"/>
            <rFont val="Tahoma"/>
            <family val="2"/>
          </rPr>
          <t>Write lock: "factory_register_lock_wr"_x000D_
Read lock: "customer_register_lock_rd"</t>
        </r>
      </text>
    </comment>
    <comment ref="S203" authorId="0" shapeId="0" xr:uid="{82D5DBF6-F316-47DF-9CF1-C667729886C1}">
      <text>
        <r>
          <rPr>
            <sz val="9"/>
            <color indexed="81"/>
            <rFont val="Tahoma"/>
            <family val="2"/>
          </rPr>
          <t>Field Name: p_sec_x000D_
Access Mode:RO_x000D_
Description:V1_sec / V2_sec._x000D_
_x000D_
 {registered false} {hdl_path p_sec_toids}</t>
        </r>
      </text>
    </comment>
    <comment ref="C205" authorId="0" shapeId="0" xr:uid="{BBB27A15-249D-4548-8BCD-3E8BC3AF2B81}">
      <text>
        <r>
          <rPr>
            <sz val="9"/>
            <color indexed="81"/>
            <rFont val="Tahoma"/>
            <family val="2"/>
          </rPr>
          <t>Write lock: "factory_register_lock_wr"_x000D_
Read lock: "customer_register_lock_rd"</t>
        </r>
      </text>
    </comment>
    <comment ref="E205" authorId="0" shapeId="0" xr:uid="{911BC2E1-0E53-4070-9D50-C0E561E13590}">
      <text>
        <r>
          <rPr>
            <sz val="9"/>
            <color indexed="81"/>
            <rFont val="Tahoma"/>
            <family val="2"/>
          </rPr>
          <t>Field Name: lin_out_x000D_
Access Mode:RO_x000D_
Description:Output of linearization block._x000D_
_x000D_
 {registered false} {hdl_path lin_out_toids}</t>
        </r>
      </text>
    </comment>
    <comment ref="U205" authorId="0" shapeId="0" xr:uid="{3109AF24-B8C3-438A-92EF-6A1F0F3DCDC4}">
      <text>
        <r>
          <rPr>
            <sz val="9"/>
            <color indexed="81"/>
            <rFont val="Tahoma"/>
            <family val="2"/>
          </rPr>
          <t>Field Name: bw_sel_out_x000D_
Access Mode:RO_x000D_
Description:BW selection LPF output._x000D_
_x000D_
 {registered false} {hdl_path bw_sel_out_toids}</t>
        </r>
      </text>
    </comment>
    <comment ref="C207" authorId="0" shapeId="0" xr:uid="{00E6EB9A-57DC-4F6A-8FB7-22C6D1CFFBCC}">
      <text>
        <r>
          <rPr>
            <sz val="9"/>
            <color indexed="81"/>
            <rFont val="Tahoma"/>
            <family val="2"/>
          </rPr>
          <t>Write lock: "customer_register_lock_wr"_x000D_
Read lock: "customer_register_lock_rd"</t>
        </r>
      </text>
    </comment>
    <comment ref="G207" authorId="0" shapeId="0" xr:uid="{0F9B1881-06FB-4CEA-9849-68A697DDD2E6}">
      <text>
        <r>
          <rPr>
            <sz val="9"/>
            <color indexed="81"/>
            <rFont val="Tahoma"/>
            <family val="2"/>
          </rPr>
          <t>Field Name: sent_debug_x000D_
Access Mode:RO_x000D_
Description:SENT Debug information:_x000D_
\s29:27  PHY state_x000D_
\s26        Bad sequencer state_x000D_
\s25        SSENT error_x000D_
\s24        Bus synchronized_x000D_
\s23:20  Sequencer state_x000D_
\s19:18  Last interpreted ID off bus_x000D_
\s17:9    Last measured high pulse in ticks_x000D_
\s8:0      Last measured low pulse in ticks_x000D_
_x000D_
 {registered false} {hdl_path debug}</t>
        </r>
      </text>
    </comment>
    <comment ref="C209" authorId="0" shapeId="0" xr:uid="{0E60C59E-C9D6-48AC-8A98-71FA0B0439B8}">
      <text>
        <r>
          <rPr>
            <sz val="9"/>
            <color indexed="81"/>
            <rFont val="Tahoma"/>
            <family val="2"/>
          </rPr>
          <t>Write lock: "customer_register_lock_wr"_x000D_
Read lock: "customer_register_lock_rd"</t>
        </r>
      </text>
    </comment>
    <comment ref="E209" authorId="0" shapeId="0" xr:uid="{A2C3CDAE-590E-42DA-AFB0-71F4ABA7CE15}">
      <text>
        <r>
          <rPr>
            <sz val="9"/>
            <color indexed="81"/>
            <rFont val="Tahoma"/>
            <family val="2"/>
          </rPr>
          <t>Field Name: vol_fill_me_64_x000D_
Access Mode:RW_x000D_
Description:Reserved for spare purposes._x000D_
 {hdl_path vol_fill_me_64_q}</t>
        </r>
      </text>
    </comment>
    <comment ref="AH209" authorId="0" shapeId="0" xr:uid="{8D3BD6CA-49CB-44A6-8187-8E95B5E7F8C7}">
      <text>
        <r>
          <rPr>
            <sz val="9"/>
            <color indexed="81"/>
            <rFont val="Tahoma"/>
            <family val="2"/>
          </rPr>
          <t>Field Name: comm_test_x000D_
Access Mode:RW_x000D_
Description:Reserved for communication testing purposes._x000D_
 {hdl_path comm_test_q}</t>
        </r>
      </text>
    </comment>
    <comment ref="C211" authorId="0" shapeId="0" xr:uid="{EF992D5C-BB14-47A5-9DC6-FEAF4488D9A9}">
      <text>
        <r>
          <rPr>
            <sz val="9"/>
            <color indexed="81"/>
            <rFont val="Tahoma"/>
            <family val="2"/>
          </rPr>
          <t>Write lock: "factory_register_lock_wr"_x000D_
Read lock: "customer_register_lock_rd"</t>
        </r>
      </text>
    </comment>
    <comment ref="E211" authorId="0" shapeId="0" xr:uid="{63C70FFE-E1FB-4277-89E4-797D62A7702A}">
      <text>
        <r>
          <rPr>
            <sz val="9"/>
            <color indexed="81"/>
            <rFont val="Tahoma"/>
            <family val="2"/>
          </rPr>
          <t>Field Name: lbist_exp_misr_final_x000D_
Access Mode:RO_x000D_
Description:Expected LBIST signature._x000D_
_x000D_
 {registered false} {hdl_path lbist_exp_misr_final_toids}</t>
        </r>
      </text>
    </comment>
    <comment ref="C213" authorId="0" shapeId="0" xr:uid="{EA3256A9-FFAD-476D-B881-A4D0FBEA64AE}">
      <text>
        <r>
          <rPr>
            <sz val="9"/>
            <color indexed="81"/>
            <rFont val="Tahoma"/>
            <family val="2"/>
          </rPr>
          <t>Write lock: "factory_register_lock_wr"_x000D_
Read lock: "customer_register_lock_rd"</t>
        </r>
      </text>
    </comment>
    <comment ref="E213" authorId="0" shapeId="0" xr:uid="{9CA473BF-FA23-4DFA-9DE3-875B7B2508C9}">
      <text>
        <r>
          <rPr>
            <sz val="9"/>
            <color indexed="81"/>
            <rFont val="Tahoma"/>
            <family val="2"/>
          </rPr>
          <t>Field Name: lbist_calc_misr_final_x000D_
Access Mode:RO_x000D_
Description:Calculated LBIST signature._x000D_
_x000D_
 {registered false} {hdl_path calc_misr_final_toids}</t>
        </r>
      </text>
    </comment>
    <comment ref="C215" authorId="0" shapeId="0" xr:uid="{C8F8F57F-77A5-4BBC-A16D-0DD49EACE259}">
      <text>
        <r>
          <rPr>
            <sz val="9"/>
            <color indexed="81"/>
            <rFont val="Tahoma"/>
            <family val="2"/>
          </rPr>
          <t>Write lock: "factory_register_lock_wr"_x000D_
Read lock: "customer_register_lock_rd"</t>
        </r>
      </text>
    </comment>
    <comment ref="U215" authorId="0" shapeId="0" xr:uid="{25BCF258-AE01-4040-8D73-AC896A315194}">
      <text>
        <r>
          <rPr>
            <sz val="9"/>
            <color indexed="81"/>
            <rFont val="Tahoma"/>
            <family val="2"/>
          </rPr>
          <t>Field Name: abist_calc_signature_x000D_
Access Mode:RO_x000D_
Description:Calculated ABIST signature._x000D_
_x000D_
 {registered false} {hdl_path abist_signature}</t>
        </r>
      </text>
    </comment>
    <comment ref="C217" authorId="0" shapeId="0" xr:uid="{DBECF60A-4095-46B1-BCC4-026FC0956DCD}">
      <text>
        <r>
          <rPr>
            <sz val="9"/>
            <color indexed="81"/>
            <rFont val="Tahoma"/>
            <family val="2"/>
          </rPr>
          <t>Write lock: "factory_register_lock_wr"_x000D_
Read lock: "customer_register_lock_rd"</t>
        </r>
      </text>
    </comment>
    <comment ref="T217" authorId="0" shapeId="0" xr:uid="{A49F7E1E-CDEA-4CEA-B7CA-2EEC64FF0188}">
      <text>
        <r>
          <rPr>
            <sz val="9"/>
            <color indexed="81"/>
            <rFont val="Tahoma"/>
            <family val="2"/>
          </rPr>
          <t>Field Name: clmp_out_override_x000D_
Access Mode:RW_x000D_
Description:When '1', the output clamper is overridden._x000D_
 {hdl_path clmp_out_override_q}</t>
        </r>
      </text>
    </comment>
    <comment ref="U217" authorId="0" shapeId="0" xr:uid="{4764156F-8F16-4019-9CB4-592F5FE3E5DE}">
      <text>
        <r>
          <rPr>
            <sz val="9"/>
            <color indexed="81"/>
            <rFont val="Tahoma"/>
            <family val="2"/>
          </rPr>
          <t>Field Name: clmp_out_val_x000D_
Access Mode:RW_x000D_
Description:When clmp_out_override is '1' this field is the value to be overwritten at the clamper output. Otherwise, it is the current clamper output._x000D_
 {hdl_path clmp_out_val_q}</t>
        </r>
      </text>
    </comment>
    <comment ref="C231" authorId="0" shapeId="0" xr:uid="{BED986A1-3518-44E6-8526-3BE57E825A59}">
      <text>
        <r>
          <rPr>
            <sz val="9"/>
            <color indexed="81"/>
            <rFont val="Tahoma"/>
            <family val="2"/>
          </rPr>
          <t>Write lock: "customer_register_lock_wr"_x000D_
Read lock: "customer_register_lock_rd"</t>
        </r>
      </text>
    </comment>
    <comment ref="E231" authorId="0" shapeId="0" xr:uid="{DEEEB98C-76CD-4E8C-84D0-75A50C44B5E8}">
      <text>
        <r>
          <rPr>
            <sz val="9"/>
            <color indexed="81"/>
            <rFont val="Tahoma"/>
            <family val="2"/>
          </rPr>
          <t>Field Name: manch_comm_e_x000D_
Access Mode:RW_x000D_
Description:Allows continues Manchester R/W commands with the analog output being disabled without overdriving the output pin nor OVLO signaling._x000D_
 {hdl_path manch_comm_e_q}</t>
        </r>
      </text>
    </comment>
    <comment ref="F231" authorId="0" shapeId="0" xr:uid="{0A664C31-676D-45DA-8585-3A74E9F2B772}">
      <text>
        <r>
          <rPr>
            <sz val="9"/>
            <color indexed="81"/>
            <rFont val="Tahoma"/>
            <family val="2"/>
          </rPr>
          <t>Field Name: vol_fill_me_70_x000D_
Access Mode:RW_x000D_
Description:Reserved for spare purposes._x000D_
 {hdl_path vol_fill_me_70_q}</t>
        </r>
      </text>
    </comment>
    <comment ref="C233" authorId="0" shapeId="0" xr:uid="{D96D13B5-B813-4312-9BE5-865F8D25528A}">
      <text>
        <r>
          <rPr>
            <sz val="9"/>
            <color indexed="81"/>
            <rFont val="Tahoma"/>
            <family val="2"/>
          </rPr>
          <t>Write lock: "customer_register_lock_wr"_x000D_
Read lock: "customer_register_lock_rd"</t>
        </r>
      </text>
    </comment>
    <comment ref="AC233" authorId="0" shapeId="0" xr:uid="{FAFACD08-BB39-4F08-8B2F-8EBB696C8088}">
      <text>
        <r>
          <rPr>
            <sz val="9"/>
            <color indexed="81"/>
            <rFont val="Tahoma"/>
            <family val="2"/>
          </rPr>
          <t>Field Name: status_0_x000D_
Access Mode:RO_x000D_
Description:Status register 0._x000D_
[7]: sl_error_x000D_
[6]: sl_v1_div_v2_oor_x000D_
[5]: sl_v1_m_v2_oor_x000D_
[4]: ids_shadow_parity_err_x000D_
[3]: a_coil_current_ov_x000D_
[2]: sup_hv_err_x000D_
[1]: sup_ov_err_x000D_
[0]: sup_uv_err_x000D_
_x000D_
 {registered false} {hdl_path status_0}</t>
        </r>
      </text>
    </comment>
    <comment ref="C235" authorId="0" shapeId="0" xr:uid="{A336803E-401A-44D1-9824-ACEF3225A890}">
      <text>
        <r>
          <rPr>
            <sz val="9"/>
            <color indexed="81"/>
            <rFont val="Tahoma"/>
            <family val="2"/>
          </rPr>
          <t>Write lock: "customer_register_lock_wr"_x000D_
Read lock: "customer_register_lock_rd"</t>
        </r>
      </text>
    </comment>
    <comment ref="G235" authorId="0" shapeId="0" xr:uid="{4F1C7179-16D9-428B-A7DB-F32C5EE6A622}">
      <text>
        <r>
          <rPr>
            <sz val="9"/>
            <color indexed="81"/>
            <rFont val="Tahoma"/>
            <family val="2"/>
          </rPr>
          <t>Field Name: status_1_x000D_
Access Mode:RO_x000D_
Description:Status register 1._x000D_
[29]: sl_v1_m_v2_oor_hi_x000D_
[28]: sl_v1_m_v2_oor_lo_x000D_
[27]: sl_v1_div_v2_oor_hi_x000D_
[26]: sl_v1_div_v2_oor_lo_x000D_
[25]: sl_kalman_p_oor_hi_x000D_
[24]: sl_kalman_p_oor_lo_x000D_
[23]: sl_rrl_int1_oor_hi_x000D_
[22]: sl_rrl_int1_oor_lo_x000D_
[21]: sl_rrl_int2_oor_hi_x000D_
[20]: sl_rrl_int2_oor_lo_x000D_
[19]: sl_bwsel_oor_hi_x000D_
[18]: sl_bwsel_oor_lo_x000D_
[17]: sl_div_by_zero_x000D_
[16]: sl_rrl_cic21_oor_hi_x000D_
[15]: sl_rrl_cic21_oor_lo_x000D_
[14]: sl_rrl_cic22_oor_hi_x000D_
[13]: sl_rrl_cic22_oor_lo_x000D_
[12]: sl_p_oor_hi_x000D_
[11]: sl_p_sec_oor_hi_x000D_
[10]: sl_linearization_oor_hi_x000D_
[9]: sl_linearization_oor_lo_x000D_
[8]: sl_clmp_oor_hi_x000D_
[7]: sl_clmp_oor_lo_x000D_
[6]: sl_rrl_cic11_oor_hi_x000D_
[5]: sl_rrl_cic11_oor_lo_x000D_
[4]: sl_rrl_cic12_oor_hi_x000D_
[3]: sl_rrl_cic12_oor_lo_x000D_
[2]: sl_cic41_sign_error_x000D_
[1]: sl_cic42_sign_error_x000D_
[0]: sl_v1_m_v2_sign_error_x000D_
_x000D_
 {registered false} {hdl_path status_1}</t>
        </r>
      </text>
    </comment>
  </commentList>
</comments>
</file>

<file path=xl/sharedStrings.xml><?xml version="1.0" encoding="utf-8"?>
<sst xmlns="http://schemas.openxmlformats.org/spreadsheetml/2006/main" count="2932" uniqueCount="1043">
  <si>
    <t>eeprom</t>
  </si>
  <si>
    <t>factory_lot</t>
  </si>
  <si>
    <t>factory_wafer</t>
  </si>
  <si>
    <t>ecc_0</t>
  </si>
  <si>
    <t>x_die_loc</t>
  </si>
  <si>
    <t>y_die_loc</t>
  </si>
  <si>
    <t>ecc_1</t>
  </si>
  <si>
    <t>ecc_2</t>
  </si>
  <si>
    <t>ecc_3</t>
  </si>
  <si>
    <t>ecc_4</t>
  </si>
  <si>
    <t>ecc_5</t>
  </si>
  <si>
    <t>ecc_6</t>
  </si>
  <si>
    <t>ecc_7</t>
  </si>
  <si>
    <t>clamp_h</t>
  </si>
  <si>
    <t>clamp_l</t>
  </si>
  <si>
    <t>ecc_8</t>
  </si>
  <si>
    <t>mem_lock</t>
  </si>
  <si>
    <t>outdrv_sel</t>
  </si>
  <si>
    <t>diag_mode</t>
  </si>
  <si>
    <t>block_volatile_output</t>
  </si>
  <si>
    <t>ecc_9</t>
  </si>
  <si>
    <t>ecc_a</t>
  </si>
  <si>
    <t>ecc_b</t>
  </si>
  <si>
    <t>ecc_c</t>
  </si>
  <si>
    <t>ecc_d</t>
  </si>
  <si>
    <t>ecc_e</t>
  </si>
  <si>
    <t>ecc_f</t>
  </si>
  <si>
    <t>ecc_10</t>
  </si>
  <si>
    <t>ecc_11</t>
  </si>
  <si>
    <t>ecc_12</t>
  </si>
  <si>
    <t>ecc_13</t>
  </si>
  <si>
    <t>ecc_14</t>
  </si>
  <si>
    <t>bw_sel</t>
  </si>
  <si>
    <t>ecc_15</t>
  </si>
  <si>
    <t>ecc_16</t>
  </si>
  <si>
    <t>ecc_17</t>
  </si>
  <si>
    <t>ecc_18</t>
  </si>
  <si>
    <t>ecc_19</t>
  </si>
  <si>
    <t>ecc_1a</t>
  </si>
  <si>
    <t>ecc_1b</t>
  </si>
  <si>
    <t>ecc_1c</t>
  </si>
  <si>
    <t>ecc_1d</t>
  </si>
  <si>
    <t>sup_det_test_e</t>
  </si>
  <si>
    <t>ecc_1e</t>
  </si>
  <si>
    <t>d_ibias_trim</t>
  </si>
  <si>
    <t>ecc_1f</t>
  </si>
  <si>
    <t>shadow</t>
  </si>
  <si>
    <t>unused</t>
  </si>
  <si>
    <t>volatile</t>
  </si>
  <si>
    <t>manch_comm_e</t>
  </si>
  <si>
    <t>ee_data</t>
  </si>
  <si>
    <t>ee_status</t>
  </si>
  <si>
    <t>ee_dbe_flag</t>
  </si>
  <si>
    <t>ee_sbe_flag</t>
  </si>
  <si>
    <t>ee_err</t>
  </si>
  <si>
    <t>ee_err_status</t>
  </si>
  <si>
    <t>ee_addr</t>
  </si>
  <si>
    <t>ee_ecc</t>
  </si>
  <si>
    <t>cp_err</t>
  </si>
  <si>
    <t>ee_marg_tst</t>
  </si>
  <si>
    <t>ee_loop</t>
  </si>
  <si>
    <t>ee_test_addr</t>
  </si>
  <si>
    <t>ee_use_test_addr</t>
  </si>
  <si>
    <t>margin_min_max_fail</t>
  </si>
  <si>
    <t>margin_status</t>
  </si>
  <si>
    <t>margin_no_min</t>
  </si>
  <si>
    <t>margin_no_max</t>
  </si>
  <si>
    <t>margin_start</t>
  </si>
  <si>
    <t>access</t>
  </si>
  <si>
    <t>access_key</t>
  </si>
  <si>
    <t>factory_register_lock_wr</t>
  </si>
  <si>
    <t>factory_register_lock_rd</t>
  </si>
  <si>
    <t>factory_eeprom_lock_wr</t>
  </si>
  <si>
    <t>factory_eeprom_lock_rd</t>
  </si>
  <si>
    <t>customer_register_lock_wr</t>
  </si>
  <si>
    <t>customer_register_lock_rd</t>
  </si>
  <si>
    <t>customer_eeprom_lock_wr</t>
  </si>
  <si>
    <t>customer_eeprom_lock_rd</t>
  </si>
  <si>
    <t>factory_access</t>
  </si>
  <si>
    <t>customer_access</t>
  </si>
  <si>
    <t>ee_cfg</t>
  </si>
  <si>
    <t>cp_rup_sel</t>
  </si>
  <si>
    <t>cp_hv_sel</t>
  </si>
  <si>
    <t>cp_rdn_sel</t>
  </si>
  <si>
    <t>cp_dac</t>
  </si>
  <si>
    <t>cp_use_dac</t>
  </si>
  <si>
    <t>cp_force_en</t>
  </si>
  <si>
    <t>ee_erase</t>
  </si>
  <si>
    <t>ee_prog</t>
  </si>
  <si>
    <t>ee_noload</t>
  </si>
  <si>
    <t>ee_en_override</t>
  </si>
  <si>
    <t>ee_override</t>
  </si>
  <si>
    <t>ee_abort</t>
  </si>
  <si>
    <t>ee_force_dbe</t>
  </si>
  <si>
    <t>ee_force_sbe</t>
  </si>
  <si>
    <t>ee_raw_ecc</t>
  </si>
  <si>
    <t>ee_dis_ecc</t>
  </si>
  <si>
    <t>ee_no_ecc</t>
  </si>
  <si>
    <t>ee_block_mode</t>
  </si>
  <si>
    <t>ee_vread</t>
  </si>
  <si>
    <t>ee_force_reload</t>
  </si>
  <si>
    <t>ee_patt_tst</t>
  </si>
  <si>
    <t>pat_test_pattern</t>
  </si>
  <si>
    <t>pat_test_status</t>
  </si>
  <si>
    <t>pat_test_start</t>
  </si>
  <si>
    <t>dft</t>
  </si>
  <si>
    <t>soft_rst</t>
  </si>
  <si>
    <t>bist_done</t>
  </si>
  <si>
    <t>bist_start</t>
  </si>
  <si>
    <t>dly_fault_e</t>
  </si>
  <si>
    <t>iddq_mode_e</t>
  </si>
  <si>
    <t>scan_mode_e</t>
  </si>
  <si>
    <t>dsc</t>
  </si>
  <si>
    <t>die_source_code</t>
  </si>
  <si>
    <t>sent_debug</t>
  </si>
  <si>
    <t>0x000</t>
  </si>
  <si>
    <t>0x001</t>
  </si>
  <si>
    <t>0x002</t>
  </si>
  <si>
    <t>0x003</t>
  </si>
  <si>
    <t>0x004</t>
  </si>
  <si>
    <t>0x005</t>
  </si>
  <si>
    <t>0x006</t>
  </si>
  <si>
    <t>0x007</t>
  </si>
  <si>
    <t>0x008</t>
  </si>
  <si>
    <t>0x009</t>
  </si>
  <si>
    <t>0x00A</t>
  </si>
  <si>
    <t>0x00B</t>
  </si>
  <si>
    <t>0x00C</t>
  </si>
  <si>
    <t>0x00D</t>
  </si>
  <si>
    <t>0x00E</t>
  </si>
  <si>
    <t>0x00F</t>
  </si>
  <si>
    <t>0x010</t>
  </si>
  <si>
    <t>0x011</t>
  </si>
  <si>
    <t>0x012</t>
  </si>
  <si>
    <t>0x013</t>
  </si>
  <si>
    <t>0x014</t>
  </si>
  <si>
    <t>0x015</t>
  </si>
  <si>
    <t>0x016</t>
  </si>
  <si>
    <t>0x017</t>
  </si>
  <si>
    <t>0x018</t>
  </si>
  <si>
    <t>0x019</t>
  </si>
  <si>
    <t>0x01A</t>
  </si>
  <si>
    <t>0x01B</t>
  </si>
  <si>
    <t>0x01C</t>
  </si>
  <si>
    <t>0x01D</t>
  </si>
  <si>
    <t>0x01E</t>
  </si>
  <si>
    <t>0x01F</t>
  </si>
  <si>
    <t>0x020</t>
  </si>
  <si>
    <t>0x021</t>
  </si>
  <si>
    <t>0x022</t>
  </si>
  <si>
    <t>0x023</t>
  </si>
  <si>
    <t>0x024</t>
  </si>
  <si>
    <t>0x025</t>
  </si>
  <si>
    <t>0x026</t>
  </si>
  <si>
    <t>0x027</t>
  </si>
  <si>
    <t>0x028</t>
  </si>
  <si>
    <t>0x029</t>
  </si>
  <si>
    <t>0x02A</t>
  </si>
  <si>
    <t>0x02B</t>
  </si>
  <si>
    <t>0x02C</t>
  </si>
  <si>
    <t>0x02D</t>
  </si>
  <si>
    <t>0x02E</t>
  </si>
  <si>
    <t>0x02F</t>
  </si>
  <si>
    <t>0x030</t>
  </si>
  <si>
    <t>0x031</t>
  </si>
  <si>
    <t>0x032</t>
  </si>
  <si>
    <t>0x033</t>
  </si>
  <si>
    <t>0x034</t>
  </si>
  <si>
    <t>0x035</t>
  </si>
  <si>
    <t>0x036</t>
  </si>
  <si>
    <t>0x037</t>
  </si>
  <si>
    <t>0x038</t>
  </si>
  <si>
    <t>0x039</t>
  </si>
  <si>
    <t>0x03A</t>
  </si>
  <si>
    <t>0x03B</t>
  </si>
  <si>
    <t>0x03C</t>
  </si>
  <si>
    <t>0x03D</t>
  </si>
  <si>
    <t>0x03E</t>
  </si>
  <si>
    <t>0x03F</t>
  </si>
  <si>
    <t>0x040</t>
  </si>
  <si>
    <t>0x041</t>
  </si>
  <si>
    <t>0x042</t>
  </si>
  <si>
    <t>0x043</t>
  </si>
  <si>
    <t>0x044</t>
  </si>
  <si>
    <t>0x045</t>
  </si>
  <si>
    <t>0x046</t>
  </si>
  <si>
    <t>0x047</t>
  </si>
  <si>
    <t>0x048</t>
  </si>
  <si>
    <t>0x049</t>
  </si>
  <si>
    <t>0x04A</t>
  </si>
  <si>
    <t>0x04B</t>
  </si>
  <si>
    <t>0x04C</t>
  </si>
  <si>
    <t>0x04D</t>
  </si>
  <si>
    <t>0x04E</t>
  </si>
  <si>
    <t>0x04F</t>
  </si>
  <si>
    <t>0x050</t>
  </si>
  <si>
    <t>0x051</t>
  </si>
  <si>
    <t>0x052</t>
  </si>
  <si>
    <t>0x053</t>
  </si>
  <si>
    <t>0x054</t>
  </si>
  <si>
    <t>0x055</t>
  </si>
  <si>
    <t>0x056</t>
  </si>
  <si>
    <t>0x057</t>
  </si>
  <si>
    <t>0x058</t>
  </si>
  <si>
    <t>0x059</t>
  </si>
  <si>
    <t>0x05A</t>
  </si>
  <si>
    <t>0x05B</t>
  </si>
  <si>
    <t>0x05C</t>
  </si>
  <si>
    <t>0x05D</t>
  </si>
  <si>
    <t>0x05E</t>
  </si>
  <si>
    <t>0x05F</t>
  </si>
  <si>
    <t>0x060</t>
  </si>
  <si>
    <t>0x061</t>
  </si>
  <si>
    <t>0x062</t>
  </si>
  <si>
    <t>0x063</t>
  </si>
  <si>
    <t>0x064</t>
  </si>
  <si>
    <t>0x065</t>
  </si>
  <si>
    <t>0x066</t>
  </si>
  <si>
    <t>0x067</t>
  </si>
  <si>
    <t>0x068</t>
  </si>
  <si>
    <t>0x069</t>
  </si>
  <si>
    <t>0x06A</t>
  </si>
  <si>
    <t>0x06B</t>
  </si>
  <si>
    <t>0x06C</t>
  </si>
  <si>
    <t>0x06D</t>
  </si>
  <si>
    <t>0x06E</t>
  </si>
  <si>
    <t>0x06F</t>
  </si>
  <si>
    <t>0x070</t>
  </si>
  <si>
    <t>0x071</t>
  </si>
  <si>
    <t>0x072</t>
  </si>
  <si>
    <t>0x073</t>
  </si>
  <si>
    <t>0x074</t>
  </si>
  <si>
    <t>0x075</t>
  </si>
  <si>
    <t>0x076</t>
  </si>
  <si>
    <t>0x077</t>
  </si>
  <si>
    <t>0x078</t>
  </si>
  <si>
    <t>0x079</t>
  </si>
  <si>
    <t>0x07A</t>
  </si>
  <si>
    <t>0x07B</t>
  </si>
  <si>
    <t>0x07C</t>
  </si>
  <si>
    <t>0x07D</t>
  </si>
  <si>
    <t>0x07E</t>
  </si>
  <si>
    <t>0x07F</t>
  </si>
  <si>
    <t>Group</t>
  </si>
  <si>
    <t>Address</t>
  </si>
  <si>
    <t>Reg Name</t>
  </si>
  <si>
    <t>Bit</t>
  </si>
  <si>
    <t>EEPROM Factory</t>
  </si>
  <si>
    <t>EEPROM Customer</t>
  </si>
  <si>
    <t>EEPROM Open</t>
  </si>
  <si>
    <t>Shadow Factory</t>
  </si>
  <si>
    <t>Shadow Customer</t>
  </si>
  <si>
    <t>Shadow Open</t>
  </si>
  <si>
    <t>Volatile Factory</t>
  </si>
  <si>
    <t>Volatile Customer</t>
  </si>
  <si>
    <t>Volatile Open</t>
  </si>
  <si>
    <t>eeprom_0</t>
  </si>
  <si>
    <t>itest</t>
  </si>
  <si>
    <t>eeprom_rev</t>
  </si>
  <si>
    <t>eeprom_1</t>
  </si>
  <si>
    <t>ptest</t>
  </si>
  <si>
    <t>eeprom_2</t>
  </si>
  <si>
    <t>cas_id</t>
  </si>
  <si>
    <t>eeprom_post_bake_p_f</t>
  </si>
  <si>
    <t>ee_spare_0_dpe</t>
  </si>
  <si>
    <t>eeprom_3</t>
  </si>
  <si>
    <t>reserved3</t>
  </si>
  <si>
    <t>eeprom_4</t>
  </si>
  <si>
    <t>d_sup_uv_sel</t>
  </si>
  <si>
    <t>d_sup_ov_sel</t>
  </si>
  <si>
    <t>d_sup_hv_sel</t>
  </si>
  <si>
    <t>d_sup_por_sel</t>
  </si>
  <si>
    <t>d_osc_half</t>
  </si>
  <si>
    <t>d_osc_trim</t>
  </si>
  <si>
    <t>eeprom_5</t>
  </si>
  <si>
    <t>status_1_msk</t>
  </si>
  <si>
    <t>eeprom_6</t>
  </si>
  <si>
    <t>eeprom_7</t>
  </si>
  <si>
    <t>d_iscoil_trim</t>
  </si>
  <si>
    <t>d_mcoil_dly</t>
  </si>
  <si>
    <t>d_sum_channels</t>
  </si>
  <si>
    <t>d_offset_coarse_e</t>
  </si>
  <si>
    <t>d_offset_coarse_pol</t>
  </si>
  <si>
    <t>d_offset_coarse</t>
  </si>
  <si>
    <t>d_rrl_e</t>
  </si>
  <si>
    <t>d_sdm_clk_half</t>
  </si>
  <si>
    <t>d_vcoil_trim</t>
  </si>
  <si>
    <t>d_sdm_chop_e</t>
  </si>
  <si>
    <t>d_afe1_gain</t>
  </si>
  <si>
    <t>d_afe2_gain</t>
  </si>
  <si>
    <t>pga_gain</t>
  </si>
  <si>
    <t>pga_gain_postlock</t>
  </si>
  <si>
    <t>eeprom_8</t>
  </si>
  <si>
    <t>rrl_clock_polarity</t>
  </si>
  <si>
    <t>mcoil_polarity</t>
  </si>
  <si>
    <t>scoil_polarity</t>
  </si>
  <si>
    <t>tmr_polarity</t>
  </si>
  <si>
    <t>rrl_for_test</t>
  </si>
  <si>
    <t>swp_channels</t>
  </si>
  <si>
    <t>scoil_dis</t>
  </si>
  <si>
    <t>tt_hys</t>
  </si>
  <si>
    <t>tt_hys_e</t>
  </si>
  <si>
    <t>tt_toff</t>
  </si>
  <si>
    <t>tt_chop_dis</t>
  </si>
  <si>
    <t>kalman_p_gain</t>
  </si>
  <si>
    <t>kalman_p_e</t>
  </si>
  <si>
    <t>afe_chop_e</t>
  </si>
  <si>
    <t>eeprom_9</t>
  </si>
  <si>
    <t>comp_e</t>
  </si>
  <si>
    <t>vo1_tc</t>
  </si>
  <si>
    <t>vo1_room</t>
  </si>
  <si>
    <t>eeprom_a</t>
  </si>
  <si>
    <t>rrl_clock_delay</t>
  </si>
  <si>
    <t>vo2_tc</t>
  </si>
  <si>
    <t>vo2_room</t>
  </si>
  <si>
    <t>eeprom_b</t>
  </si>
  <si>
    <t>a1_tc</t>
  </si>
  <si>
    <t>a1_room</t>
  </si>
  <si>
    <t>eeprom_c</t>
  </si>
  <si>
    <t>vtmr_room</t>
  </si>
  <si>
    <t>a2_tc</t>
  </si>
  <si>
    <t>a2_room</t>
  </si>
  <si>
    <t>eeprom_d</t>
  </si>
  <si>
    <t>vtmr_tc_h</t>
  </si>
  <si>
    <t>vtmr_tc_l</t>
  </si>
  <si>
    <t>vtmr_tinf</t>
  </si>
  <si>
    <t>eeprom_e</t>
  </si>
  <si>
    <t>kd_int</t>
  </si>
  <si>
    <t>kd_frac</t>
  </si>
  <si>
    <t>delta_d</t>
  </si>
  <si>
    <t>eeprom_f</t>
  </si>
  <si>
    <t>v1_m_v2_thr_h</t>
  </si>
  <si>
    <t>v1_m_v2_thr_l</t>
  </si>
  <si>
    <t>v1_div_v2_thr_h</t>
  </si>
  <si>
    <t>v1_div_v2_thr_l</t>
  </si>
  <si>
    <t>eeprom_10</t>
  </si>
  <si>
    <t>sent_scn_config</t>
  </si>
  <si>
    <t>sent_data_config</t>
  </si>
  <si>
    <t>sent_splmin_adjust</t>
  </si>
  <si>
    <t>sent_slot_marking</t>
  </si>
  <si>
    <t>sent_slot_sync</t>
  </si>
  <si>
    <t>sent_por_offline</t>
  </si>
  <si>
    <t>sent_idle_sync</t>
  </si>
  <si>
    <t>sent_fsample_adr</t>
  </si>
  <si>
    <t>sent_zero_sample</t>
  </si>
  <si>
    <t>sent_no_fsample</t>
  </si>
  <si>
    <t>sent_device_id</t>
  </si>
  <si>
    <t>sent_max_devices</t>
  </si>
  <si>
    <t>sent_aux_adr</t>
  </si>
  <si>
    <t>sent_crc_scn</t>
  </si>
  <si>
    <t>sent_no_smsg</t>
  </si>
  <si>
    <t>sent_output_mode</t>
  </si>
  <si>
    <t>eeprom_11</t>
  </si>
  <si>
    <t>sent_trg_config</t>
  </si>
  <si>
    <t>sent_tick_time</t>
  </si>
  <si>
    <t>eeprom_12</t>
  </si>
  <si>
    <t>pwm1_sent0</t>
  </si>
  <si>
    <t>pwm_cmd_trigger_config</t>
  </si>
  <si>
    <t>pwm_period_sel</t>
  </si>
  <si>
    <t>eeprom_13</t>
  </si>
  <si>
    <t>lin01</t>
  </si>
  <si>
    <t>lin00</t>
  </si>
  <si>
    <t>eeprom_14</t>
  </si>
  <si>
    <t>lin03</t>
  </si>
  <si>
    <t>lin02</t>
  </si>
  <si>
    <t>eeprom_15</t>
  </si>
  <si>
    <t>lin05</t>
  </si>
  <si>
    <t>lin04</t>
  </si>
  <si>
    <t>eeprom_16</t>
  </si>
  <si>
    <t>lin07</t>
  </si>
  <si>
    <t>lin06</t>
  </si>
  <si>
    <t>eeprom_17</t>
  </si>
  <si>
    <t>lin09</t>
  </si>
  <si>
    <t>lin08</t>
  </si>
  <si>
    <t>eeprom_18</t>
  </si>
  <si>
    <t>lin11</t>
  </si>
  <si>
    <t>lin10</t>
  </si>
  <si>
    <t>eeprom_19</t>
  </si>
  <si>
    <t>lin13</t>
  </si>
  <si>
    <t>lin12</t>
  </si>
  <si>
    <t>eeprom_1a</t>
  </si>
  <si>
    <t>lin15</t>
  </si>
  <si>
    <t>lin14</t>
  </si>
  <si>
    <t>eeprom_1b</t>
  </si>
  <si>
    <t>fhss_e</t>
  </si>
  <si>
    <t>coil_freq</t>
  </si>
  <si>
    <t>bw_sel_e</t>
  </si>
  <si>
    <t>lin_bin</t>
  </si>
  <si>
    <t>lin_e</t>
  </si>
  <si>
    <t>lin16</t>
  </si>
  <si>
    <t>eeprom_1c</t>
  </si>
  <si>
    <t>offset</t>
  </si>
  <si>
    <t>gain_coarse</t>
  </si>
  <si>
    <t>gain_fine</t>
  </si>
  <si>
    <t>eeprom_1d</t>
  </si>
  <si>
    <t>clamp_e</t>
  </si>
  <si>
    <t>eeprom_1e</t>
  </si>
  <si>
    <t>coil_ovcur_e</t>
  </si>
  <si>
    <t>status_0_msk</t>
  </si>
  <si>
    <t>abist_ack</t>
  </si>
  <si>
    <t>lbist_ack</t>
  </si>
  <si>
    <t>abist_e</t>
  </si>
  <si>
    <t>lbist_e</t>
  </si>
  <si>
    <t>eeprom_1f</t>
  </si>
  <si>
    <t>cust_word</t>
  </si>
  <si>
    <t>shadow_4</t>
  </si>
  <si>
    <t>shadow_5</t>
  </si>
  <si>
    <t>shadow_6</t>
  </si>
  <si>
    <t>sh_fill_me_6</t>
  </si>
  <si>
    <t>shadow_7</t>
  </si>
  <si>
    <t>shadow_8</t>
  </si>
  <si>
    <t>shadow_9</t>
  </si>
  <si>
    <t>sh_fill_me_9</t>
  </si>
  <si>
    <t>shadow_a</t>
  </si>
  <si>
    <t>shadow_b</t>
  </si>
  <si>
    <t>shadow_c</t>
  </si>
  <si>
    <t>sh_fill_me_c</t>
  </si>
  <si>
    <t>shadow_d</t>
  </si>
  <si>
    <t>shadow_e</t>
  </si>
  <si>
    <t>shadow_f</t>
  </si>
  <si>
    <t>sh_fill_me_f</t>
  </si>
  <si>
    <t>shadow_10</t>
  </si>
  <si>
    <t>sh_fill_me_10</t>
  </si>
  <si>
    <t>shadow_11</t>
  </si>
  <si>
    <t>shadow_12</t>
  </si>
  <si>
    <t>pwm_cmd_trigger_cfg</t>
  </si>
  <si>
    <t>shadow_13</t>
  </si>
  <si>
    <t>shadow_14</t>
  </si>
  <si>
    <t>shadow_15</t>
  </si>
  <si>
    <t>shadow_16</t>
  </si>
  <si>
    <t>shadow_17</t>
  </si>
  <si>
    <t>shadow_18</t>
  </si>
  <si>
    <t>shadow_19</t>
  </si>
  <si>
    <t>shadow_1a</t>
  </si>
  <si>
    <t>shadow_1b</t>
  </si>
  <si>
    <t>sh_fill_me_1b</t>
  </si>
  <si>
    <t>shadow_1c</t>
  </si>
  <si>
    <t>shadow_1d</t>
  </si>
  <si>
    <t>shadow_1e</t>
  </si>
  <si>
    <t>sh_fill_me_1e</t>
  </si>
  <si>
    <t>shadow_1f</t>
  </si>
  <si>
    <t>stop</t>
  </si>
  <si>
    <t>run_step</t>
  </si>
  <si>
    <t>abist_pass1_fail0</t>
  </si>
  <si>
    <t>lbist_pass1_fail0</t>
  </si>
  <si>
    <t>volatile_50</t>
  </si>
  <si>
    <t>tm_spare</t>
  </si>
  <si>
    <t>tm_scoil_hf</t>
  </si>
  <si>
    <t>tm_tmr_clk_dis</t>
  </si>
  <si>
    <t>tm_tmr_clk_pol</t>
  </si>
  <si>
    <t>tm_clk2out</t>
  </si>
  <si>
    <t>tm_force_out_z</t>
  </si>
  <si>
    <t>tm_force_out_low</t>
  </si>
  <si>
    <t>tm_mcoil_dis</t>
  </si>
  <si>
    <t>volatile_51</t>
  </si>
  <si>
    <t>d_tm_spare</t>
  </si>
  <si>
    <t>d_tm_coil_sftshrt_e</t>
  </si>
  <si>
    <t>d_tm_pok_ps</t>
  </si>
  <si>
    <t>d_tm_load_e</t>
  </si>
  <si>
    <t>d_tm_sd_short_2</t>
  </si>
  <si>
    <t>d_tm_sd_short_1</t>
  </si>
  <si>
    <t>d_tm_afe_short_2</t>
  </si>
  <si>
    <t>d_tm_afe_short_1</t>
  </si>
  <si>
    <t>volatile_52</t>
  </si>
  <si>
    <t>d_de_mux_sel</t>
  </si>
  <si>
    <t>d_pe_amux_sel</t>
  </si>
  <si>
    <t>volatile_53</t>
  </si>
  <si>
    <t>p</t>
  </si>
  <si>
    <t>volatile_54</t>
  </si>
  <si>
    <t>v2</t>
  </si>
  <si>
    <t>v1</t>
  </si>
  <si>
    <t>volatile_55</t>
  </si>
  <si>
    <t>v1_p_v2_div2</t>
  </si>
  <si>
    <t>v1_m_v2_div2</t>
  </si>
  <si>
    <t>volatile_56</t>
  </si>
  <si>
    <t>rrl_cic2_out_2</t>
  </si>
  <si>
    <t>rrl_cic2_out_1</t>
  </si>
  <si>
    <t>volatile_57</t>
  </si>
  <si>
    <t>rrl_int_out_2</t>
  </si>
  <si>
    <t>rrl_int_out_1</t>
  </si>
  <si>
    <t>volatile_58</t>
  </si>
  <si>
    <t>rrl_feedback_2</t>
  </si>
  <si>
    <t>rrl_feedback_1</t>
  </si>
  <si>
    <t>volatile_59</t>
  </si>
  <si>
    <t>dac_tmr</t>
  </si>
  <si>
    <t>tt_temp</t>
  </si>
  <si>
    <t>volatile_5a</t>
  </si>
  <si>
    <t>a2</t>
  </si>
  <si>
    <t>a1</t>
  </si>
  <si>
    <t>volatile_5b</t>
  </si>
  <si>
    <t>vo2</t>
  </si>
  <si>
    <t>vo1</t>
  </si>
  <si>
    <t>volatile_5c</t>
  </si>
  <si>
    <t>v2_m_vo2</t>
  </si>
  <si>
    <t>v1_m_vo1</t>
  </si>
  <si>
    <t>volatile_5d</t>
  </si>
  <si>
    <t>v2_comp</t>
  </si>
  <si>
    <t>v1_comp</t>
  </si>
  <si>
    <t>volatile_5e</t>
  </si>
  <si>
    <t>kr</t>
  </si>
  <si>
    <t>p_m_delta_d</t>
  </si>
  <si>
    <t>volatile_5f</t>
  </si>
  <si>
    <t>rrl_lock</t>
  </si>
  <si>
    <t>kr_m_offset</t>
  </si>
  <si>
    <t>volatile_60</t>
  </si>
  <si>
    <t>v2_sec</t>
  </si>
  <si>
    <t>v1_sec</t>
  </si>
  <si>
    <t>volatile_61</t>
  </si>
  <si>
    <t>kr_comp</t>
  </si>
  <si>
    <t>volatile_62</t>
  </si>
  <si>
    <t>p_sec</t>
  </si>
  <si>
    <t>volatile_63</t>
  </si>
  <si>
    <t>lin_out</t>
  </si>
  <si>
    <t>bw_sel_out</t>
  </si>
  <si>
    <t>volatile_64</t>
  </si>
  <si>
    <t>volatile_65</t>
  </si>
  <si>
    <t>vol_fill_me_64</t>
  </si>
  <si>
    <t>comm_test</t>
  </si>
  <si>
    <t>volatile_66</t>
  </si>
  <si>
    <t>lbist_exp_misr_final</t>
  </si>
  <si>
    <t>volatile_67</t>
  </si>
  <si>
    <t>lbist_calc_misr_final</t>
  </si>
  <si>
    <t>volatile_68</t>
  </si>
  <si>
    <t>abist_calc_signature</t>
  </si>
  <si>
    <t>volatile_69</t>
  </si>
  <si>
    <t>clmp_out_override</t>
  </si>
  <si>
    <t>clmp_out_val</t>
  </si>
  <si>
    <t>volatile_70</t>
  </si>
  <si>
    <t>vol_fill_me_70</t>
  </si>
  <si>
    <t>volatile_71</t>
  </si>
  <si>
    <t>status_0</t>
  </si>
  <si>
    <t>volatile_72</t>
  </si>
  <si>
    <t>status_1</t>
  </si>
  <si>
    <t xml:space="preserve">Error correction code. </t>
  </si>
  <si>
    <t>rw</t>
  </si>
  <si>
    <t xml:space="preserve">Binary count of test insertions (including retests). </t>
  </si>
  <si>
    <t xml:space="preserve">8 bits Y die location (accommodates up to 256 dies in Y). </t>
  </si>
  <si>
    <t xml:space="preserve">8 bits X die location (accommodates up to 256 dies in X). </t>
  </si>
  <si>
    <t xml:space="preserve">EEPROM revision. </t>
  </si>
  <si>
    <t>0x00</t>
  </si>
  <si>
    <t xml:space="preserve">Binary last operation identifier (Post Bake 1-3, FT R/H, FT R/C, etc). </t>
  </si>
  <si>
    <t xml:space="preserve">Factory Probe Lot (uses 3rd - 7th digits of the lot number). </t>
  </si>
  <si>
    <t xml:space="preserve">Factory Wafer Number (stores up to 64 wafers). </t>
  </si>
  <si>
    <t>0x01</t>
  </si>
  <si>
    <t xml:space="preserve">CAS/ID for Customer code. </t>
  </si>
  <si>
    <t xml:space="preserve">EEPROM post-bake P/F (P=111,F=000), allows clean post-bake multi pass. </t>
  </si>
  <si>
    <t xml:space="preserve">Spare bits for DPE and/or future use. </t>
  </si>
  <si>
    <t>0x02</t>
  </si>
  <si>
    <t xml:space="preserve">Error Code Correction </t>
  </si>
  <si>
    <t xml:space="preserve">Reserved register </t>
  </si>
  <si>
    <t>0x03</t>
  </si>
  <si>
    <t>ee_unused_4</t>
  </si>
  <si>
    <t xml:space="preserve">Unused. </t>
  </si>
  <si>
    <t xml:space="preserve">Enter supply detect mode.  Drive output to a fixed state based on VCC. </t>
  </si>
  <si>
    <t xml:space="preserve">UV threshold trimming.\n'00': Threshold is set to 4.2 V.\n'01': Threshold is set to 4.1 V.\n'10': Threshold 
is set to 4.3 V.\n'11': Threshold is set to 4.4 V. </t>
  </si>
  <si>
    <t xml:space="preserve">OV threshold trimming.\n'00': Threshold is set to 7 V.\n'01': Threshold is set to 6.5 V.\n'10': Threshold 
is set to 7.5 V.\n'11': Threshold is set to 8 V. </t>
  </si>
  <si>
    <t xml:space="preserve">HV threshold trimming.\n'00': Threshold is set to 16 V.\n'01': Threshold is set to 15 V.\n'10': Threshold 
is set to 14 V.\n'11': Threshold is set to 13 V. </t>
  </si>
  <si>
    <t xml:space="preserve">POR threshold trimming.\n'00': Threshold is set to 3.7 V.\n'01': Threshold is set to 3.6 V.\n'10': Threshold 
is set to 3.8 V.\n'11': Threshold is set to 3.9 V. </t>
  </si>
  <si>
    <t xml:space="preserve">When '1', the oscillator internally runs at half frequency but its output is always 16MHz nominal. </t>
  </si>
  <si>
    <t xml:space="preserve">Oscillator trimming during POR data.\n'0000': Nominal freq is set to mean val = 32 MHz.\n'0111': Nominal 
freq is set to max val = 38.7 MHz\n'1111': Nominal freq is set to min val = 23.3 MHz.\nLSB step = 1MHz. 
</t>
  </si>
  <si>
    <t xml:space="preserve">Bias current trimming during POR data.\n'0000': Nominal current is  set to mean val = 5uA.\n'1111': Nominal 
current is  set to min val = 6.6uA.\n'0111': Nominal current is set to max val = 3.18uA.\nLSB step = 
228nA. </t>
  </si>
  <si>
    <t>0x04</t>
  </si>
  <si>
    <t>ee_unused_5</t>
  </si>
  <si>
    <t xml:space="preserve">Status 1 register mask. When '1', the associated error is disabled.\n[16]: Mask for sl_v1_m_v2_oor_hi 
andsl_v1_m_v2_oor_lo.\n[15]: Mask for sl_v1_div_v2_oor_hi and sl_v1_div_v2_oor_lo.\n[14]: Mask for sl_kalman_p_oor_hi 
and sl_kalman_p_oor_lo.\n[13]: Mask for sl_rrl_int1_oor_hi and sl_rrl_int1_oor_lo.\n[12]: Mask for sl_rrl_int2_oor_hi 
and sl_rrl_int2_oor_lo.\n[11]: Mask for sl_bwsel_oor_hi and sl_bwsel_oor_lo.\n[10]: Mask for sl_div_by_zero.\n[9]: 
Mask for sl_rrl_cic21_oor_hi and sl_rrl_cic21_oor_hi.\n[8]: Mask for sl_rrl_cic22_oor_hi and sl_rrl_cic22_oor_lo.\n[7]: 
Mask for sl_p_oor_hi.\n[6]: Mask for sl_p_sec_oor_hi.\n[5]: Mask for sl_linearization_oor_hi and sl_linearization_oor_lo.\n[4]: 
Mask for sl_clmp_oor_hi and sl_clmp_oor_lo.\n[3]: Mask for sl_rrl_cic11_oor_hi and sl_rrl_cic11_oor_lo.\n[2]: 
Mask for sl_rrl_cic12_oor_hi and sl_rrl_cic12_oor_lo.\n[1]: Mask for sl_cic41_sign_error and sl_cic42_sign_error.\n[0]: 
Mask for sl_v1_m_v2_sign_error. </t>
  </si>
  <si>
    <t>0x05</t>
  </si>
  <si>
    <t>ee_unused_6</t>
  </si>
  <si>
    <t>0x06</t>
  </si>
  <si>
    <t>ee_unused_7</t>
  </si>
  <si>
    <t xml:space="preserve">Secondary coil current trimming.\n'00': Nominal value (200uA).\n'01': +40%\n'10': -50%\n'11': -10% </t>
  </si>
  <si>
    <t xml:space="preserve">Main coil clock delay. </t>
  </si>
  <si>
    <t xml:space="preserve">When '1', channels are added/subtracted in the analog domain instead of the digital one. </t>
  </si>
  <si>
    <t xml:space="preserve">When '1', the coarse offset DAC is enabled. </t>
  </si>
  <si>
    <t xml:space="preserve">0' is negative offset, '1' is positive offset. </t>
  </si>
  <si>
    <t xml:space="preserve">Coarse adjust of differential offset for each channel for unidirectional mode-like operation.\n'000': 
Voffset magnitud is set to min val = 250mV.\n'111': Voffset magnitud is set to max val = 2V.\nLSB step 
= 250mV. </t>
  </si>
  <si>
    <t xml:space="preserve">When '1', RRLs are enabled for both channels. </t>
  </si>
  <si>
    <t xml:space="preserve">Bit to set CTSDM at 8MHz instead of 16MHz (default). Analog uses it as an input to adapt the RCs in the 
modulator. Digital changes the SDM to 8MHz. </t>
  </si>
  <si>
    <t xml:space="preserve">Fine trimming of Vcoil to set the coil current level.\n'0000': Vcoil is set to min val = 2.3V.\n'1111': 
Vcoil is set to max val = 3.2375V.\nLSB step = 62.5mV. </t>
  </si>
  <si>
    <t xml:space="preserve">When '1', the Sigma-Delta modulator chopper is enabled. </t>
  </si>
  <si>
    <t xml:space="preserve">AFE 1 Gain selection.\n'0': Gain set to 12x.\n'1': Gain set to 6x. </t>
  </si>
  <si>
    <t xml:space="preserve">AFE 2 Gain selection.\n'0': Gain set to 12x.\n'1': Gain set to 6x. </t>
  </si>
  <si>
    <t xml:space="preserve">PGA Gain selection.\n'00': PGA Gain is set to 1x.\n'01': PGA Gain is set to 1.5x.\n'10': PGA Gain is 
set to 2x.\n'11': PGA Gain is set to 3x. </t>
  </si>
  <si>
    <t xml:space="preserve">PGA gain selection when RRL is already locked.\n'00': PGA Gain is set to 1x.\n'01': PGA Gain is set to 
1.5x.\n'10': PGA Gain is set to 2x.\n'11': PGA Gain is set to 3x. </t>
  </si>
  <si>
    <t>0x07</t>
  </si>
  <si>
    <t xml:space="preserve">When '1', the RRL clock polarity is inverted. </t>
  </si>
  <si>
    <t xml:space="preserve">When '1', the main coil clock polarity is inverted. </t>
  </si>
  <si>
    <t xml:space="preserve">When '1', the secondary coil clock polarity is inverted. </t>
  </si>
  <si>
    <t xml:space="preserve">When '1', TMR clock polarity is inverted. </t>
  </si>
  <si>
    <t xml:space="preserve">When '1', RRL used for testing instead of offset reduction. </t>
  </si>
  <si>
    <t xml:space="preserve">When '1', digital channels are swapped before division. </t>
  </si>
  <si>
    <t xml:space="preserve">When '1', the secondary coil is disabled during normal operation (not for ABIST).  </t>
  </si>
  <si>
    <t xml:space="preserve">Tiny temp hysteresis window in LSBs. </t>
  </si>
  <si>
    <t xml:space="preserve">Tiny temp hysterisis enable. </t>
  </si>
  <si>
    <t xml:space="preserve">Tiny temp offset compensation (two's complement from -128 to +127).\nEffective offset: 4 x tt_toff. </t>
  </si>
  <si>
    <t xml:space="preserve">When '1', Tiny Temp chopper is disabled. </t>
  </si>
  <si>
    <t xml:space="preserve">Kalman filter for P divisor gain selection.\n'00': 1/8\n'01': 1/16\n'10': 1/32\n'11': 1/64 </t>
  </si>
  <si>
    <t xml:space="preserve">Enables Kalman filter for P divisor. </t>
  </si>
  <si>
    <t xml:space="preserve">When '1', chopper is enabled for both channels AFE. </t>
  </si>
  <si>
    <t>0x08</t>
  </si>
  <si>
    <t>ee_unused_9</t>
  </si>
  <si>
    <t xml:space="preserve">Block volatile outputs to avoid false test mode activating. </t>
  </si>
  <si>
    <t xml:space="preserve">When '1', temperature compensation is enabled. Otherwise it is bypassed. </t>
  </si>
  <si>
    <t xml:space="preserve">V1 offset TC (two's complement from -512 to +511). </t>
  </si>
  <si>
    <t xml:space="preserve">V1 offset at 25?C (two's complement from -512 to +511). </t>
  </si>
  <si>
    <t>0x09</t>
  </si>
  <si>
    <t xml:space="preserve">RRL clock delay trimming.\nWhen RRL used for test, nominal delay value is d17.\nWhen RRL used for chopper, 
nominal delay value is d14. </t>
  </si>
  <si>
    <t xml:space="preserve">V2 offset TC (two's complement from -512 to +511). </t>
  </si>
  <si>
    <t xml:space="preserve">V2 offset at 25?C (two's complement from -512 to +511). </t>
  </si>
  <si>
    <t>0x0A</t>
  </si>
  <si>
    <t>ee_unused_b</t>
  </si>
  <si>
    <t xml:space="preserve">A1 gain TC (two's complement from -256 to +255). If no compensation is required, set it to 0. </t>
  </si>
  <si>
    <t xml:space="preserve">A1 gain at 25?C (unsigned from 0 to +511). If no compensation is required, set it to +256. </t>
  </si>
  <si>
    <t>0x0B</t>
  </si>
  <si>
    <t>ee_unused_c</t>
  </si>
  <si>
    <t xml:space="preserve">VTMR DAC value at 25?C (unsigned, from 0 to +127).\n'0000000': min val 0.5V.\n'1111111': max val 2.0V.\nLSB 
step = 11.71875 mV. </t>
  </si>
  <si>
    <t xml:space="preserve">A2 gain TC (two's complement from -256 to +255). If no compensation is required, set it to 0. </t>
  </si>
  <si>
    <t xml:space="preserve">A2 gain at 25?C (unsigned from 0 to +511). If no compensation is required, set it to +256. </t>
  </si>
  <si>
    <t>0x0C</t>
  </si>
  <si>
    <t xml:space="preserve">VTMR TC slope above slope change point (unsigned from 0 to +1023). </t>
  </si>
  <si>
    <t xml:space="preserve">VTMR slope change temperature point. Actual inflection point is 64 x vtmr_inf. </t>
  </si>
  <si>
    <t>0x0D</t>
  </si>
  <si>
    <t xml:space="preserve">KD coefficient integer part. </t>
  </si>
  <si>
    <t xml:space="preserve">KD coefficient fractional part (two's complement from -1024 to +1023). </t>
  </si>
  <si>
    <t xml:space="preserve">Delta_d coefficient (two's complement from -8192 to +8191). </t>
  </si>
  <si>
    <t>0x0E</t>
  </si>
  <si>
    <t>ee_unused_f</t>
  </si>
  <si>
    <t xml:space="preserve">v1 - v2 threshold high (steps of 64 LSBs). </t>
  </si>
  <si>
    <t xml:space="preserve">v1 - v2 threshold low (steps of 1024 LSBs). </t>
  </si>
  <si>
    <t xml:space="preserve">v1_sec / v2_sec threshold high (steps of 512 LSBs). </t>
  </si>
  <si>
    <t xml:space="preserve">v1_sec / v2_sec threshold low (steps of 1024 LSBs). </t>
  </si>
  <si>
    <t>0x0F</t>
  </si>
  <si>
    <t>ee_unused_10</t>
  </si>
  <si>
    <t xml:space="preserve">SENT Status and configuration nibble configuration.\n0:  SCN[3:2] = SENT slow serial message.\n1:  SCN[3:2] 
= All zeros.\n2:  SCN[3:2] = Device ID, SCN[3] = ID[1] and SCN[2] = ID[0].\n3:  SCN[3:2] = SENT slow 
serial message (same as option 0). </t>
  </si>
  <si>
    <t xml:space="preserve">Number and format of data nibbles in SENT frame.  </t>
  </si>
  <si>
    <t xml:space="preserve">Function Pulse Adjust. Only for SSENT-Long. Increases the lower threshold of F_OUTPUT pulse:\n00: No 
change to F_OUTPUT pulse width. Minimum width = 7 Ticks.\n01: Minimum width of F_OUTPUT increased by 
1 Tick. Min = 8 Ticks.\n10: Minimum width of F_OUTPUT increased by 2 Ticks. Min = 9 Ticks.\n11: Minimum 
width of F_OUTPUT increased by 3 Ticks. Min = 10 Ticks. </t>
  </si>
  <si>
    <t xml:space="preserve">When '1', In SSENT, slot marking times applied prior to start of frame. </t>
  </si>
  <si>
    <t xml:space="preserve">When '1', In SSENT+slot_marking, uses slot_marking output pulse from other devices to sync internal slot 
counter. </t>
  </si>
  <si>
    <t xml:space="preserve">When '1', sensor will be in OFFLINE mode following a POR. Only for SSENT modes. </t>
  </si>
  <si>
    <t xml:space="preserve">When '1', In SSENT, bus idle time &gt; 510 ticks will act as F_SYNC. </t>
  </si>
  <si>
    <t xml:space="preserve">When '1', F_SAMPLE is addressing + sample_and_hold request. </t>
  </si>
  <si>
    <t xml:space="preserve">When '1', In SSENT, sample_and_hold requested when slot_cntr=0. </t>
  </si>
  <si>
    <t xml:space="preserve">When '1', F_SAMPLE will not create a sample_and_hold request when a F_SAMPLE pulse is broadcasted. </t>
  </si>
  <si>
    <t xml:space="preserve">Device ID for SSENT, ASENT and Manchester serial communication. </t>
  </si>
  <si>
    <t xml:space="preserve">Highest device number on the bus for SSENT. </t>
  </si>
  <si>
    <t xml:space="preserve">F_AUX addressing mode.\n0: F_AUX is broadcast.\n1: F_AUX is addressing. </t>
  </si>
  <si>
    <t xml:space="preserve">When '1', SCN nibble is used to calculate CRC along with data nibbles. </t>
  </si>
  <si>
    <t xml:space="preserve">0: Only bits [1:0] of the Status Nibble are writable by scn_data[1:0] input, bits [3:2] of the Status 
Nibble are used for short serial message.\n1: Suppress short serial message, the scn_data[3:0] input 
writes the complete Status Nibble. </t>
  </si>
  <si>
    <t xml:space="preserve">Output mode:\n0: SENT\n1: SENT - Paused\n2: ISENT\n3: TSENT - SCN\n4: TSENT - Falling\n5: SSENT - Short\n6: 
SSENT - Long\n7: ASENT </t>
  </si>
  <si>
    <t>0x10</t>
  </si>
  <si>
    <t>ee_unused_11</t>
  </si>
  <si>
    <t xml:space="preserve">SENT minimum low time for recognize a valid TSENT trigger pulse or a valid ASENT incaddr pulse.\n0: 2.5us\n1: 
5us\n2: 10us\n3: 0.5us </t>
  </si>
  <si>
    <t xml:space="preserve">SENT tick time selection (from 1 to 127, 0 yields an invalid frame).\nFrom 122ns (sent_tick_time=1).\nTo 
15.5us (sent_tick_time=127).\nStep: 1LSB = 122ns. </t>
  </si>
  <si>
    <t>0x11</t>
  </si>
  <si>
    <t>ee_unused_12</t>
  </si>
  <si>
    <t xml:space="preserve">Adjust output driving for fall time control.\n'000': Output fall time is 0.05 usec.\n'001': Output fall 
time is 0.1 usec.\n'010': Output fall time is 0.2 usec.\n'011': Output fall time is 0.3 usec.\n'100': 
Output fall time is 0.8 usec.\n'101': Output fall time is 1.5 usec.\n'110': Output fall time is 3.2 
usec.\n'111': Output fall time is 5.0 usec. </t>
  </si>
  <si>
    <t xml:space="preserve">When '1', PWM is enabled, when '0' SENT is enabled. </t>
  </si>
  <si>
    <t xml:space="preserve">When '1', command triggers every time the condition is met.\nWhen '0', command triggers after the host 
releases the pwm_out. </t>
  </si>
  <si>
    <t xml:space="preserve">PWM active period selection.\n'0000': 128000 system clocks (7812.5us - 0.128KHz - Resolution 15 bits).\n'0001': 
96000 system clocks (5859.375us - 0.170KHz - Resolution 15 bits).\n'0010': 64000 system clocks (3906.25us 
- 0.256KHz - Resolution 14 bits).\n'0011': 48000 system clocks (2929.6875us - 0.341KHz - Resolution 
14 bits).\n'0100': 32000 system clocks (1953.125us - 0.512KHz - Resolution 13 bits).\n'0101': 24000 
system clocks (1464.844us - 0.683KHz - Resolution 13 bits).\n'0110': 20000 system clocks (1220.703us 
- 0.819KHz - Resolution 13 bits).\n'0111': 16000 system clocks (976.5625us - 1.024KHz - Resolution 12 
bits).\n'1000': 12000 system clocks (732.4219us - 1.365KHz - Resolution 12 bits).\n'1001': 10000 system 
clocks (610.3516us - 1.638KHz - Resolution 12 bits).\n'1010': 8000 system clocks (488.2813us - 2.048KHz 
- Resolution 11 bits).\n'1011': 6000 system clocks (366.2109us - 2.731KHz - Resolution 11 bits).\n'1100': 
4000 system clocks (244.1406us - 4.096KHz - Resolution 10 bits).\n'1101': 3000 system clocks (183.1055us 
- 5.461KHz - Resolution 10 bits).\n'1110': 2000 system clocks (122.0703us - 8.192KHz - Resolution 9 
bits).\n'1111': 1000 system clocks (61.0352us - 16384KHz - Resolution 8 bits). </t>
  </si>
  <si>
    <t>0x12</t>
  </si>
  <si>
    <t xml:space="preserve">Linearization table entry 1. </t>
  </si>
  <si>
    <t xml:space="preserve">Linearization table entry 0. </t>
  </si>
  <si>
    <t>0x13</t>
  </si>
  <si>
    <t xml:space="preserve">Linearization table entry 3. </t>
  </si>
  <si>
    <t xml:space="preserve">Linearization table entry 2. </t>
  </si>
  <si>
    <t>0x14</t>
  </si>
  <si>
    <t xml:space="preserve">Linearization table entry 5. </t>
  </si>
  <si>
    <t xml:space="preserve">Linearization table entry 4. </t>
  </si>
  <si>
    <t>0x15</t>
  </si>
  <si>
    <t xml:space="preserve">Linearization table entry 7. </t>
  </si>
  <si>
    <t xml:space="preserve">Linearization table entry 6. </t>
  </si>
  <si>
    <t>0x16</t>
  </si>
  <si>
    <t xml:space="preserve">Linearization table entry 9. </t>
  </si>
  <si>
    <t xml:space="preserve">Linearization table entry 8. </t>
  </si>
  <si>
    <t>0x17</t>
  </si>
  <si>
    <t xml:space="preserve">Linearization table entry 11. </t>
  </si>
  <si>
    <t xml:space="preserve">Linearization table entry 10. </t>
  </si>
  <si>
    <t>0x18</t>
  </si>
  <si>
    <t xml:space="preserve">Linearization table entry 13. </t>
  </si>
  <si>
    <t xml:space="preserve">Linearization table entry 12. </t>
  </si>
  <si>
    <t>0x19</t>
  </si>
  <si>
    <t xml:space="preserve">Linearization table entry 15. </t>
  </si>
  <si>
    <t xml:space="preserve">Linearization table entry 14. </t>
  </si>
  <si>
    <t>0x1A</t>
  </si>
  <si>
    <t>ee_unused_1b</t>
  </si>
  <si>
    <t xml:space="preserve">Unused field. </t>
  </si>
  <si>
    <t xml:space="preserve">When '1', frequency hopping spread spectrum is enabled. </t>
  </si>
  <si>
    <t xml:space="preserve">Main coil frequency selection when fhss_e = '0'.\nSecondary coil frequency selection during ABIST or 
trimming. \n'000': ???.\n'001': ???.\n'010': ???.\n'011': ???.\n'100': ???.\n'101': ???.\n'110': ???.\n'111': 
???. </t>
  </si>
  <si>
    <t xml:space="preserve">When '1', bandwidth selection filter is enabled. Otherwise, bypass it. </t>
  </si>
  <si>
    <t xml:space="preserve">Bandwidth selection.\n'000': .\n'001': .\n'010': .\n'011': .\n'100': .\n'101': .\n'110': .\n'111': . 
</t>
  </si>
  <si>
    <t xml:space="preserve">Enable bin mode for linearization table. </t>
  </si>
  <si>
    <t xml:space="preserve">When '1', linearization table is enabled. Otherwise, it is bypassed. </t>
  </si>
  <si>
    <t xml:space="preserve">Linearization table entry 16. </t>
  </si>
  <si>
    <t>0x1B</t>
  </si>
  <si>
    <t xml:space="preserve">Offset correction (two's complement from -8192 to +8191) </t>
  </si>
  <si>
    <t xml:space="preserve">Coarse gain selection.\n0: coarse_gain = 1\n1: coarse_gain = 2\n2: coarse_gain = 4\n3: coarse_gain = 
8\n4: coarse_gain = 16\n5-7: coarse_gain = 32 </t>
  </si>
  <si>
    <t xml:space="preserve">Fine gain selection (two's complement, from 0 to +511). </t>
  </si>
  <si>
    <t>0x1C</t>
  </si>
  <si>
    <t>ee_unused_1d</t>
  </si>
  <si>
    <t xml:space="preserve">When '1', output clamper is enabled. </t>
  </si>
  <si>
    <t xml:space="preserve">High clamper. </t>
  </si>
  <si>
    <t xml:space="preserve">Low clamper. </t>
  </si>
  <si>
    <t>0x1D</t>
  </si>
  <si>
    <t>ee_unused_1e</t>
  </si>
  <si>
    <t xml:space="preserve">When '1', main coil over current detection is enabled. </t>
  </si>
  <si>
    <t xml:space="preserve">Status 0 register mask. When '1', the associated error is disabled.\n[11]: sup_uv error.\n[12]: sup_ov 
error.\n[13]: a_sup_hv error.\n[14]: a_coil_current_ov error.\n[15]: Reg map error.\n[16]: V1 - V2 out 
of range error.\n[17]: V1/V2 (secondary coil) out of range error.\n[18]: Digital signal path error. 
</t>
  </si>
  <si>
    <t xml:space="preserve">When '1', any unmasked error will set the output to high-Z.\nIf LBIST was run, LBIST message is always 
transmitted prior to setting the output to high-Z. </t>
  </si>
  <si>
    <t xml:space="preserve">ABIST acknowledge enable. </t>
  </si>
  <si>
    <t xml:space="preserve">LBIST acknowledge enable. </t>
  </si>
  <si>
    <t xml:space="preserve">ABIST enable configuration:\n\s\s\s00 - Disabled.\n\s\s\s01 - Power on.\n\s\s\s10 - User requested.\n\s\s\s11 
- Both.\n(User requested can be either customer, factory or open depending where is placed bist_start 
volatile field). </t>
  </si>
  <si>
    <t xml:space="preserve">LBIST enable configuration:\n\s\s\s00 - Disabled.\n\s\s\s01 - Power on.\n\s\s\s10 - User requested.\n\s\s\s11 
- Both.\n(User requested can be either customer, factory or open depending where is placed bist_start 
volatile field). </t>
  </si>
  <si>
    <t xml:space="preserve">0011': EEPROM Lock: Prevents writes to EEPROM but all registers including shadow can be written. All 
registers and EEPROM can be read.\n'0110': Write Lock: Prevents writing anything to either EEPROM or 
registers. All registers and EEPROM can still be read.\n'1100': Full Lock: Prevents all access to the 
device. </t>
  </si>
  <si>
    <t>0x1E</t>
  </si>
  <si>
    <t>ee_unused_1f</t>
  </si>
  <si>
    <t xml:space="preserve">Customer reserved word. </t>
  </si>
  <si>
    <t>0x1F</t>
  </si>
  <si>
    <t>eeprom 32 0</t>
  </si>
  <si>
    <t>Enter supply detect mode.  Drive output to a fixed state based on VCC.\n {hdl_path u_dig_top.u_dft_w
rapper.u_scan_wrapper.u_functional_top.u_ids_top.u_direct_regmap.shadow_shadow_4_sup_det_test_e_q}</t>
  </si>
  <si>
    <t>UV threshold trimming.\n'00': Threshold is set to 4.2 V.\n'01': Threshold is set to 4.1 V.\n'10': Threshold 
is set to 4.3 V.\n'11': Threshold is set to 4.4 V.\n\n\n {output_coupling true} {scan_val 0} {hdl_path 
u_dig_top.u_dft_wrapper.u_scan_wrapper.u_functional_top.u_ids_top.u_direct_regmap.shadow_shadow_4_d
_sup_uv_sel_q}</t>
  </si>
  <si>
    <t>OV threshold trimming.\n'00': Threshold is set to 7 V.\n'01': Threshold is set to 6.5 V.\n'10': Threshold 
is set to 7.5 V.\n'11': Threshold is set to 8 V.\n\n\n {output_coupling true} {scan_val 0} {hdl_path 
u_dig_top.u_dft_wrapper.u_scan_wrapper.u_functional_top.u_ids_top.u_direct_regmap.shadow_shadow_4_d
_sup_ov_sel_q}</t>
  </si>
  <si>
    <t>HV threshold trimming.\n'00': Threshold is set to 16 V.\n'01': Threshold is set to 15 V.\n'10': Threshold 
is set to 14 V.\n'11': Threshold is set to 13 V.\n\n\n {output_coupling true} {scan_val 0} {hdl_path 
u_dig_top.u_dft_wrapper.u_scan_wrapper.u_functional_top.u_ids_top.u_direct_regmap.shadow_shadow_4_d
_sup_hv_sel_q}</t>
  </si>
  <si>
    <t>POR threshold trimming.\n'00': Threshold is set to 3.7 V.\n'01': Threshold is set to 3.6 V.\n'10': Threshold 
is set to 3.8 V.\n'11': Threshold is set to 3.9 V.\n\n\n {registered false} {trimming true} {hdl_path 
u_dig_top.u_trim_mngr_d_sup_por_sel.trim_data_ltch}</t>
  </si>
  <si>
    <t>When '1', the oscillator internally runs at half frequency but its output is always 16MHz nominal.\n\n\n 
{registered false} {trimming true} {hdl_path u_dig_top.u_trim_mngr_d_osc_half.trim_data_ltch}</t>
  </si>
  <si>
    <t>Oscillator trimming during POR data.\n'0000': Nominal freq is set to mean val = 32 MHz.\n'0111': Nominal 
freq is set to max val = 38.7 MHz\n'1111': Nominal freq is set to min val = 23.3 MHz.\nLSB step = 1MHz.\n\n\n 
{registered false} {trimming true} {hdl_path u_dig_top.u_trim_mngr_d_osc_trim.trim_data_ltch}</t>
  </si>
  <si>
    <t>Bias current trimming during POR data.\n'0000': Nominal current is set to mean val = 5uA.\n'1111': Nominal 
current is set to min val = 6.6uA.\n'0111': Nominal current is set to max val = 3.18uA.\nLSB step = 
228nA.\n\n\n {registered false} {trimming true} {hdl_path u_dig_top.u_trim_mngr_d_ibias_trim.trim_d
ata_ltch}</t>
  </si>
  <si>
    <t>0x24</t>
  </si>
  <si>
    <t>Status 1 register mask. When '1', the associated error is disabled.\n[16]: Mask for sl_v1_m_v2_oor_hi 
andsl_v1_m_v2_oor_lo.\n[15]: Mask for sl_v1_div_v2_oor_hi and sl_v1_div_v2_oor_lo.\n[14]: Mask for sl_kalman_p_oor_hi 
and sl_kalman_p_oor_lo.\n[13]: Mask for sl_rrl_int1_oor_hi and sl_rrl_int1_oor_lo.\n[12]: Mask for sl_rrl_int2_oor_hi 
and sl_rrl_int2_oor_lo.\n[11]: Mask for sl_bwsel_oor_hi and sl_bwsel_oor_lo.\n[10]: Mask for sl_div_by_zero.\n[9]: 
Mask for sl_rrl_cic21_oor_hi and sl_rrl_cic21_oor_hi.\n[8]: Mask for sl_rrl_cic22_oor_hi and sl_rrl_cic22_oor_lo.\n[7]: 
Mask for sl_p_oor_hi.\n[6]: Mask for sl_p_sec_oor_hi.\n[5]: Mask for sl_linearization_oor_hi and sl_linearization_oor_lo.\n[4]: 
Mask for sl_clmp_oor_hi and sl_clmp_oor_lo.\n[3]: Mask for sl_rrl_cic11_oor_hi and sl_rrl_cic11_oor_lo.\n[2]: 
Mask for sl_rrl_cic12_oor_hi and sl_rrl_cic12_oor_lo.\n[1]: Mask for sl_cic41_sign_error and sl_cic42_sign_error.\n[0]: 
Mask sl_v1_m_v2_sign_error.\n {hdl_path status_1_msk_q}</t>
  </si>
  <si>
    <t>0x25</t>
  </si>
  <si>
    <t>Reserved for spare purposes.\n {hdl_path sh_fill_me_6_q}</t>
  </si>
  <si>
    <t>0x26</t>
  </si>
  <si>
    <t>Secondary coil current trimming.\n'00': Nominal value (200uA).\n'01': +40%\n'10': -50%\n'11': -10%\n\n\n 
{hdl_path d_iscoil_trim_q} {output_coupling true} {scan_val 0}</t>
  </si>
  <si>
    <t>Main coil clock delay.\n\n\n {hdl_path d_mcoil_dly_q} {output_coupling true} {scan_val 0}</t>
  </si>
  <si>
    <t>When '1', channels are added/subtracted in the analog domain instead of the digital one.\n\n\n {hdl_path 
d_sum_channels_q} {output_coupling true} {scan_val 0}</t>
  </si>
  <si>
    <t>When '1', the coarse offset DAC is enabled.\n\n\n {hdl_path d_offset_coarse_e_q} {output_coupling true} 
{scan_val 0}</t>
  </si>
  <si>
    <t>0' is negative offset, '1' is positive offset.\n\n\n {hdl_path d_offset_coarse_pol_q} {output_coupling 
true} {scan_val 0}</t>
  </si>
  <si>
    <t>Coarse adjust of differential offset for each channel for unidirectional mode-like operation.\n'111': 
Voffset magnitude is set to min val = 250mV.\n'000': Voffset magnitude is set to max val = 2V.\nLSB 
step = 250mV.\n\n\n {hdl_path d_offset_coarse_q} {output_coupling true} {scan_val 0}</t>
  </si>
  <si>
    <t>When '1', RRLs are enabled for both channels.\n\n\n {hdl_path d_rrl_e_q} {output_coupling true} {scan_val 
0}</t>
  </si>
  <si>
    <t>Bit to set CTSDM at 8MHz instead of 16MHz (default). Analog uses it as an input to adapt the RCs in the 
modulator. Digital changes the SDM to 8MHz.\n\n\n {hdl_path d_sdm_clk_half_q} {output_coupling true} 
{scan_val 0}</t>
  </si>
  <si>
    <t>Fine trimming of Vcoil to set the coil current level.\n'0000': Vcoil is set to min val = 2.3 V.\n'1111': 
Vcoil is set to max val = 3.2375 V.\nLSB step = 62.5 mV.\n\n\n {hdl_path d_vcoil_trim_q} {output_coupling 
true} {scan_val 0}</t>
  </si>
  <si>
    <t>When '1', the Sigma-Delta modulator chopper is enabled.\n\n\n {hdl_path d_sdm_chop_e_q} {output_coupling 
true} {scan_val 0}</t>
  </si>
  <si>
    <t>AFE 1 Gain selection.\n'0': Gain set to 12x.\n'1': Gain set to 6x.\n\n\n {hdl_path d_afe1_gain_q} {output_coupling 
true} {scan_val 0}</t>
  </si>
  <si>
    <t>AFE 2 Gain selection.\n'0': Gain set to 12x.\n'1': Gain set to 6x.\n\n\n {hdl_path d_afe2_gain_q} {output_coupling 
true} {scan_val 0}</t>
  </si>
  <si>
    <t>PGA Gain selection.\n'00': PGA Gain is set to 1x.\n'01': PGA Gain is set to 1.5x.\n'10': PGA Gain is 
set to 2x.\n'11': PGA Gain is set to 3x.\n {hdl_path pga_gain_q}</t>
  </si>
  <si>
    <t>PGA gain selection when RRL is already locked.\n'00': PGA Gain is set to 1x.\n'01': PGA Gain is set to 
1.5x.\n'10': PGA Gain is set to 2x.\n'11': PGA Gain is set to 3x.\n {hdl_path pga_gain_postlock_q}</t>
  </si>
  <si>
    <t>0x27</t>
  </si>
  <si>
    <t>When '1', the RRL clock clock polarity is inverted.\n {hdl_path rrl_clock_polarity_q}</t>
  </si>
  <si>
    <t>When '1', the main coil clock polarity is inverted.\n {hdl_path mcoil_polarity_q}</t>
  </si>
  <si>
    <t>When '1', the secondary coil clock polarity is inverted.\n {hdl_path scoil_polarity_q}</t>
  </si>
  <si>
    <t>When '1', TMR clock polarity is inverted.\n {hdl_path tmr_polarity_q}</t>
  </si>
  <si>
    <t>When '1', RRL used for testing instead of offset reduction.\n {hdl_path rrl_for_test_q}</t>
  </si>
  <si>
    <t>When '1', digital channels are swapped before division.\n {hdl_path swp_channels_q}</t>
  </si>
  <si>
    <t>When '1', the secondary coil is disabled during normal operation (not for ABIST). \n {hdl_path scoil
_dis_q}</t>
  </si>
  <si>
    <t>Tiny temp hysteresis window in LSBs.\n {hdl_path tt_hys_q}</t>
  </si>
  <si>
    <t>Tiny temp hysteresis enable.\n {hdl_path tt_hys_e_q}</t>
  </si>
  <si>
    <t>Tiny temp offset compensation (two's complement from -128 to +127).\nEffective offset: 4 x tt_toff.\n 
{hdl_path tt_toff_q}</t>
  </si>
  <si>
    <t>When '1', Tiny Temp chopper is disabled.\n {hdl_path tt_chop_dis_q}</t>
  </si>
  <si>
    <t>Kalman filter for P divisor gain selection.\n'00': 1/8\n'01': 1/16\n'10': 1/32\n'11': 1/64\n {hdl_path 
kalman_p_gain_q}</t>
  </si>
  <si>
    <t>Enables Kalman filter for P divisor.\n {hdl_path kalman_p_e_q}</t>
  </si>
  <si>
    <t>When '1', chopper is enabled for both channels AFE.\n {hdl_path afe_chop_e_q}</t>
  </si>
  <si>
    <t>0x28</t>
  </si>
  <si>
    <t>Reserved as spare.\n {hdl_path sh_fill_me_9_q}</t>
  </si>
  <si>
    <t>Block volatile outputs to avoid false test mode activating.\n {hdl_path block_volatile_output_q}</t>
  </si>
  <si>
    <t>When '1', compensation is enabled. Otherwise it is bypassed.\n {hdl_path comp_e_q}</t>
  </si>
  <si>
    <t>V1 offset TC (two's complement from -512 to +511).\n {hdl_path vo1_tc_q}</t>
  </si>
  <si>
    <t>V1 offset at 25?C (two's complement from -512 to +511).\n {hdl_path vo1_room_q}</t>
  </si>
  <si>
    <t>0x29</t>
  </si>
  <si>
    <t>RRL clock delay trimming.\nWhen RRL used for test, nominal delay value is d17.\nWhen RRL used for chopper, 
nominal delay value is d14.\n {hdl_path rrl_clock_delay_q}</t>
  </si>
  <si>
    <t>V2 offset TC (two's complement from -512 to +511).\n {hdl_path vo2_tc_q}</t>
  </si>
  <si>
    <t>V2 offset at 25?C (two's complement from -512 to +511).\n {hdl_path vo2_room_q}</t>
  </si>
  <si>
    <t>0x2A</t>
  </si>
  <si>
    <t>A1 gain TC (two's complement from -128 to +127). If no compensation is required, set it to 0.\n {hdl_path 
a1_tc_q}</t>
  </si>
  <si>
    <t>A1 gain at 25?C (two's complement from -512 to +511). If no compensation is required, set it to +256.\n 
{hdl_path a1_room_q}</t>
  </si>
  <si>
    <t>0x2B</t>
  </si>
  <si>
    <t>Reserved as spare.\n {hdl_path sh_fill_me_c_q}</t>
  </si>
  <si>
    <t>VTMR DAC value at 25?C (unsigned, from 0 to +127).\n'0000000': min val 0.5V.\n'0000000': max val 2.0V.\nLSB 
step = 11.71875 mV.\n {hdl_path vtmr_room_q}</t>
  </si>
  <si>
    <t>A2 gain TC (two's complement from -128 to +127). If no compensation is required, set it to 0.\n {hdl_path 
a2_tc_q}</t>
  </si>
  <si>
    <t>A2 gain at 25?C (two's complement from -512 to +511). If no compensation is required, set it to +256.\n 
{hdl_path a2_room_q}</t>
  </si>
  <si>
    <t>0x2C</t>
  </si>
  <si>
    <t>VTMR TC slope above slope change point (unsigned from 0 to +1023).\n {hdl_path vtmr_tc_h_q}</t>
  </si>
  <si>
    <t>VTMR TC slope above slope change point (unsigned from 0 to +1023).\n {hdl_path vtmr_tc_l_q}</t>
  </si>
  <si>
    <t>VTMR slope change temperature point.\n {hdl_path vtmr_tinf_q}</t>
  </si>
  <si>
    <t>0x2D</t>
  </si>
  <si>
    <t>KD coefficient, integer part.\n {hdl_path kd_int_q}</t>
  </si>
  <si>
    <t>KD coefficient, fractional part (two's complement from -1024 to +1023).\n {hdl_path kd_frac_q}</t>
  </si>
  <si>
    <t>Delta_d coefficient  (two's complement from -8192 to +8191).\n {hdl_path delta_d_q}</t>
  </si>
  <si>
    <t>0x2E</t>
  </si>
  <si>
    <t>Reserved as spare.\n {hdl_path sh_fill_me_f_q}</t>
  </si>
  <si>
    <t>v1 - v2 threshold high (steps of 64 LSBs).\n {hdl_path v1_m_v2_thr_h_q}</t>
  </si>
  <si>
    <t>v1 - v2 threshold low (steps of 1024 LSBs).\n {hdl_path v1_m_v2_thr_l_q}</t>
  </si>
  <si>
    <t>v1_sec / v2_sec threshold high (steps of 512 LSBs).\n {hdl_path v1_div_v2_thr_h_q}</t>
  </si>
  <si>
    <t>v1_sec / v2_sec threshold low (steps of 1024 LSBs).\n {hdl_path v1_div_v2_thr_l_q}</t>
  </si>
  <si>
    <t>0x2F</t>
  </si>
  <si>
    <t>Reseved as spare.\n {hdl_path sh_fill_me_10_q}</t>
  </si>
  <si>
    <t>0:  SCN[3:2] = SENT slow serial message.\n1:  SCN[3:2] = All zeros.\n2:  SCN[3:2] = Device ID, SCN[3] 
= ID[1] and SCN[2] = ID[0].\n3:  SCN[3:2] = SENT slow serial message (same as option 0).\n {hdl_path 
sent_scn_config_q}</t>
  </si>
  <si>
    <t>Number and format of data nibbles in SENT frame. \n {hdl_path sent_data_config_q}</t>
  </si>
  <si>
    <t>Function Pulse Adjust. Only for SSENT-Long. Increases the lower threshold of F_OUTPUT pulse:\n00: No 
change to F_OUTPUT pulse width. Minimum width = 7 Ticks.\n01: Minimum width of F_OUTPUT increased by 
1 Tick. Min = 8 Ticks.\n10: Minimum width of F_OUTPUT increased by 2 Ticks. Min = 9 Ticks.\n11: Minimum 
width of F_OUTPUT increased by 3 Ticks. Min = 10 Ticks.\n {hdl_path sent_splmin_adjust_q}</t>
  </si>
  <si>
    <t>When '1', In SSENT, slot marking times applied prior to start of frame.\n {hdl_path sent_slot_markin
g_q}</t>
  </si>
  <si>
    <t>When '1', In SSENT+slot_marking, uses slot_marking output pulse from other devices to sync slot counter.\n 
{hdl_path sent_slot_sync_q}</t>
  </si>
  <si>
    <t>When '1', sensor will be in OFFLINE mode following a POR.\n {hdl_path sent_por_offline_q}</t>
  </si>
  <si>
    <t>When '1', In SSENT, bus idle time &gt; 510 ticks will act as F_SYNC.\n {hdl_path sent_idle_sync_q}</t>
  </si>
  <si>
    <t>When '1', F_SAMPLE is addressing + sample_and_hold request.\n {hdl_path sent_fsample_adr_q}</t>
  </si>
  <si>
    <t>When '1', In SSENT, sample_and_hold requested when slot_cntr=0.\n {hdl_path sent_zero_sample_q}</t>
  </si>
  <si>
    <t>When '1', F_SAMPLE will not create a sample_and_hold request.\n {hdl_path sent_no_fsample_q}</t>
  </si>
  <si>
    <t>Device ID for SSENT and ASENT. Also for Manchester communication.\n {hdl_path sent_device_id_q}</t>
  </si>
  <si>
    <t>Highest device number on the bus for SSENT.\n {hdl_path sent_max_devices_q}</t>
  </si>
  <si>
    <t>F_AUX addressing mode.\n0: F_AUX is broadcast.\n1: F_AUX is addressing.\n {hdl_path sent_aux_adr_q}</t>
  </si>
  <si>
    <t>When '1', SCN nibble is used to calculate CRC along with data nibbles.\n {hdl_path sent_crc_scn_q}</t>
  </si>
  <si>
    <t>0: Only bits [1:0] of the Status Nibble are writable by scn_data[1:0] input, bits [3:2] of the Status 
Nibble are used for short serial message.\n1: Suppress short serial message, the scn_data[3:0] input 
writes the complete Status Nibble.\n {hdl_path sent_no_smsg_q}</t>
  </si>
  <si>
    <t>Output mode:\n0: SENT\n1: SENT - Paused\n2: ISENT\n3: TSENT - SCN\n4: TSENT - Falling\n5: SSENT - Short\n6: 
SSENT - Long\n7: ASENT\n {hdl_path sent_output_mode_q}</t>
  </si>
  <si>
    <t>0x30</t>
  </si>
  <si>
    <t>SENT minimum low time for recognize a valid TSENT trigger pulse or a valid ASENT incaddr pulse.\n0: 2.5us\n1: 
5us\n2: 10us\n3: 0.5us\n {hdl_path sent_trg_config_q}</t>
  </si>
  <si>
    <t>SENT tick time selection (from 1 to 127, 0 yields an invalid frame).\nFrom 122ns (sent_tick_time=1).\nTo 
15.5us (sent_tick_time=127).\nStep: 1LSB = 122ns.\n {hdl_path sent_tick_time_q}</t>
  </si>
  <si>
    <t>0x31</t>
  </si>
  <si>
    <t>Adjust output driving for fall time control.\n'000': Output fall time is 0.05 usec.\n'001': Output fall 
time is 0.1 usec.\n'010': Output fall time is 0.2 usec.\n'011': Output fall time is 0.3 usec.\n'100': 
Output fall time is 0.8 usec.\n'101': Output fall time is 1.5 usec.\n'110': Output fall time is 3.2 
usec.\n'111': Output fall time is 5.0 usec.\n {hdl_path outdrv_sel_q}</t>
  </si>
  <si>
    <t>When '1', PWM is enabled, when '0' SENT is enabled.\n {hdl_path pwm1_sent0_q}</t>
  </si>
  <si>
    <t>When '1', command triggers every time the condition is met.\nWhen '0', command triggers after the host 
releases the pwm_out.\n {hdl_path pwm_cmd_trigger_cfg_q}</t>
  </si>
  <si>
    <t>PWM active period selection.\n'0000': 128000 system clocks (7812.5us - 0.128KHz - Resolution 15 bits).\n'0001': 
96000 system clocks (5859.375us - 0.170KHz - Resolution 15 bits).\n'0010': 64000 system clocks (3906.25us 
- 0.256KHz - Resolution 14 bits).\n'0011': 48000 system clocks (2929.6875us - 0.341KHz - Resolution 
14 bits).\n'0100': 32000 system clocks (1953.125us - 0.512KHz - Resolution 13 bits).\n'0101': 24000 
system clocks (1464.844us - 0.683KHz - Resolution 13 bits).\n'0110': 20000 system clocks (1220.703us 
- 0.819KHz - Resolution 13 bits).\n'0111': 16000 system clocks (976.5625us - 1.024KHz - Resolution 12 
bits).\n'1000': 12000 system clocks (732.4219us - 1.365KHz - Resolution 12 bits).\n'1001': 10000 system 
clocks (610.3516us - 1.638KHz - Resolution 12 bits).\n'1010': 8000 system clocks (488.2813us - 2.048KHz 
- Resolution 11 bits).\n'1011': 6000 system clocks (366.2109us - 2.731KHz - Resolution 11 bits).\n'1100': 
4000 system clocks (244.1406us - 4.096KHz - Resolution 10 bits).\n'1101': 3000 system clocks (183.1055us 
- 5.461KHz - Resolution 10 bits).\n'1110': 2000 system clocks (122.0703us - 8.192KHz - Resolution 9 
bits).\n'1111': 1000 system clocks (61.0352us - 16384KHz - Resolution 8 bits).\n {hdl_path pwm_peri
od_sel_q}</t>
  </si>
  <si>
    <t>0x32</t>
  </si>
  <si>
    <t>Linearization table entry 1.\n {hdl_path lin01_q}</t>
  </si>
  <si>
    <t>Linearization table entry 0.\n {hdl_path lin00_q}</t>
  </si>
  <si>
    <t>0x33</t>
  </si>
  <si>
    <t>Linearization table entry 3.\n {hdl_path lin03_q}</t>
  </si>
  <si>
    <t>Linearization table entry 2.\n {hdl_path lin02_q}</t>
  </si>
  <si>
    <t>0x34</t>
  </si>
  <si>
    <t>Linearization table entry 5.\n {hdl_path lin05_q}</t>
  </si>
  <si>
    <t>Linearization table entry 4.\n {hdl_path lin04_q}</t>
  </si>
  <si>
    <t>0x35</t>
  </si>
  <si>
    <t>Linearization table entry 7.\n {hdl_path lin07_q}</t>
  </si>
  <si>
    <t>Linearization table entry 6.\n {hdl_path lin06_q}</t>
  </si>
  <si>
    <t>0x36</t>
  </si>
  <si>
    <t>Linearization table entry 9.\n {hdl_path lin09_q}</t>
  </si>
  <si>
    <t>Linearization table entry 8.\n {hdl_path lin08_q}</t>
  </si>
  <si>
    <t>0x37</t>
  </si>
  <si>
    <t>Linearization table entry 11.\n {hdl_path lin11_q}</t>
  </si>
  <si>
    <t>Linearization table entry 10.\n {hdl_path lin10_q}</t>
  </si>
  <si>
    <t>0x38</t>
  </si>
  <si>
    <t>Linearization table entry 13.\n {hdl_path lin13_q}</t>
  </si>
  <si>
    <t>Linearization table entry 12.\n {hdl_path lin12_q}</t>
  </si>
  <si>
    <t>0x39</t>
  </si>
  <si>
    <t>Linearization table entry 15.\n {hdl_path lin15_q}</t>
  </si>
  <si>
    <t>Linearization table entry 14.\n {hdl_path lin14_q}</t>
  </si>
  <si>
    <t>0x3A</t>
  </si>
  <si>
    <t>Reserved as spare.\n {hdl_path sh_fill_me_1b_q}</t>
  </si>
  <si>
    <t>When '1', frequency hopping spread sprectrum is enabled.\n {hdl_path fhss_e_q}</t>
  </si>
  <si>
    <t>Main coil frequency selection when fhss_e = '0'.\nSecondary coil frequency selection during ABIST or 
trimming. \n'000': ???.\n'001': ???.\n'010': ???.\n'011': ???.\n'100': ???.\n'101': ???.\n'110': ???.\n'111': 
???.\n {hdl_path coil_freq_q}</t>
  </si>
  <si>
    <t>When '1', bandwidth selection filter is enabled. Otherwise, bypass it.\n {hdl_path bw_sel_e_q}</t>
  </si>
  <si>
    <t>Bandwidth selection.\n'000': .\n'001': .\n'010': .\n'011': .\n'100': .\n'101': .\n'110': .\n'111': .\n 
{hdl_path bw_sel_q}</t>
  </si>
  <si>
    <t>Enable bin mode for linearization table.\n {hdl_path lin_bin_q}</t>
  </si>
  <si>
    <t>When '1', linearization table is enabled. Otherwise, bypass it.\n {hdl_path lin_e_q}</t>
  </si>
  <si>
    <t>Linearization table entry 16.\n {hdl_path lin16_q}</t>
  </si>
  <si>
    <t>0x3B</t>
  </si>
  <si>
    <t>Offset correction (two's complement from -8192 to +8191).\n {hdl_path offset_q}</t>
  </si>
  <si>
    <t>Coarse gain selection.\n0: coarse_gain = 1\n1: coarse_gain = 2\n2: coarse_gain = 4\n3: coarse_gain = 
8\n4: coarse_gain = 16\n5-7: coarse_gain = 32\n {hdl_path gain_coarse_q}</t>
  </si>
  <si>
    <t>Fine gain selection (two's complement, from -256 to +255).\n {hdl_path gain_fine_q}</t>
  </si>
  <si>
    <t>0x3C</t>
  </si>
  <si>
    <t>When '1', output clamper is enabled.\n {hdl_path clamp_e_q}</t>
  </si>
  <si>
    <t>High clamper.\n {hdl_path clamp_h_q}</t>
  </si>
  <si>
    <t>Low clamper.\n {hdl_path clamp_l_q}</t>
  </si>
  <si>
    <t>0x3D</t>
  </si>
  <si>
    <t>Reserved as spare.\n {hdl_path sh_fill_me_1e_q}</t>
  </si>
  <si>
    <t>When '1', main coil over current detection is disabled.\n {hdl_path coil_ovcur_e_q}</t>
  </si>
  <si>
    <t>Status 0 register mask. When '1', the associated error is masked.\n[0]: sup_uv error.\n[1]: sup_ov error.\n[2]: 
a_sup_hv error.\n[3]: a_coil_current_ov error.\n[4]: Reg map error.\n[5]: V1 - V2 out of range error.\n[6]: 
V1/V2 (secondary coil) out of range error.\n[7]: Digital signal path error.\n {hdl_path status_0_ms
k_q}</t>
  </si>
  <si>
    <t>When '1', any unmasked error will set the output to high-Z.\nIf LBIST was run, LBIST message is always 
transmitted prior to setting the output to high-Z.\n {hdl_path diag_mode_q}</t>
  </si>
  <si>
    <t>ABIST acknowledge.\n {hdl_path abist_ack_q}</t>
  </si>
  <si>
    <t>LBIST acknowledge.\n {hdl_path lbist_ack_q}</t>
  </si>
  <si>
    <t>ABIST enable configuration:\n\s\s\s00 - Disabled.\n\s\s\s01 - Power on.\n\s\s\s10 - User requested.\n\s\s\s11 
- Both.\n(User requested can be either customer, factory or open depending where is placed bist_start 
volatile field).\n {hdl_path abist_e_q}</t>
  </si>
  <si>
    <t>LBIST enable configuration:\n\s\s\s00 - Disabled.\n\s\s\s01 - Power on.\n\s\s\s10 - User requested.\n\s\s\s11 
- Both.\n(User requested can be either customer, factory or open depending where is placed bist_start 
volatile field).\n {hdl_path lbist_e_q}</t>
  </si>
  <si>
    <t>3'b0011 - EEPROM Lock: Prevents writes to EEPROM but all registers including shadow can be written. All 
registers and EEPROM can be read.\n3'b0110 - Write Lock: Prevents writing anything to either EEPROM 
or registers. All registers and EEPROM can still be read.\n3'b1100 - Full Lock: Prevents all access 
to the device.\n {hdl_path mem_lock_q}</t>
  </si>
  <si>
    <t>0x3E</t>
  </si>
  <si>
    <t>Reserved as spare.\n {hdl_path cust_word_q}</t>
  </si>
  <si>
    <t>0x3F</t>
  </si>
  <si>
    <t>shadow 32 32</t>
  </si>
  <si>
    <t>Selects the ramp up time for the charge pump.\n {hdl_path cp_rup_sel_q}</t>
  </si>
  <si>
    <t>Selects the time the cp_dac remains at its max value.\n {hdl_path cp_hv_sel_q}</t>
  </si>
  <si>
    <t>Selects the ramp down time for the charge pump.\n {hdl_path cp_rdn_sel_q}</t>
  </si>
  <si>
    <t>This value is driven on cp_dac[5:0] output when cp_dac_en  is set.\n {hdl_path cp_dac_q}</t>
  </si>
  <si>
    <t>0: Normal operation\n1: The value in CP_DAC drives the cp_dac[5:0] output.\n {hdl_path cp_use_dac_q}</t>
  </si>
  <si>
    <t>0: Normal operation.\n1: Force cp_en output high.\n {hdl_path cp_force_en_q}</t>
  </si>
  <si>
    <t>Setting this bit will perform an ERASE operation only on the EEPROM the next time an EEPROM address is 
written. It is self clearing when the ERASE operation is complete. \n {hdl_path ee_erase_q}</t>
  </si>
  <si>
    <t>Setting this bit will perform a PROGRAM operation only on the EEPROM the next time and EEPROM address 
is written. If ERASE is set, this bit is ignored. It is self clearing when the PROGRAM operation is 
complete. \n {hdl_path ee_prog_q}</t>
  </si>
  <si>
    <t>0: Normal operation \n1: Disables update of the shadow registers. Overrides reload bit. \n {hdl_path 
ee_noload_q}</t>
  </si>
  <si>
    <t>0: Normal operation.\n1: Force ee_en output high.\n {hdl_path ee_en_override_q}</t>
  </si>
  <si>
    <t>00: Normal operation\n01: Force ee_rd output high\n10: Force ee_er output high\n11: Force ee_pr output 
high\n {hdl_path ee_override_q}</t>
  </si>
  <si>
    <t>Terminates any EEPROM write transaction immediately.  Leaves the EEPROM ready for a new transaction. 
\n {hdl_path ee_abort_q}</t>
  </si>
  <si>
    <t>0: Disabled.\n1: Force a Multi bit error during read (inverts bits 1:0).\n {hdl_path ee_force_dbe_q}</t>
  </si>
  <si>
    <t>0: Disabled.\n1: Force a Single bit error during read (inverts bit 0). Takes precedence over ee_force_dbe. 
\n {hdl_path ee_force_sbe_q}</t>
  </si>
  <si>
    <t>0: ECC bits encode error information\n\s\s\s\sECC bit 2: 1 if single bit error, 0 if no error.\n\s\s\s\sECC 
bit 3: 1 if double bit error, 0 if not error.\n\s\s\s\sAll other ecc bits are always 0.\n1: ECC bits 
return the ECC code (top bits in EEPROM).\n {hdl_path ee_raw_ecc_q}</t>
  </si>
  <si>
    <t>0: Correct Single bit errors when they occur.\n1: Do not correct single bit errors.\n {hdl_path ee_d
is_ecc_q}</t>
  </si>
  <si>
    <t>0: Upper bits of EEPROM is written with ECC bits. \n1: EEPROM is written with all bits of raw data. During 
a read, all bits of raw data is returned.\n {hdl_path ee_no_ecc_q}</t>
  </si>
  <si>
    <t>00: Single Word Write Access\n01: Odd Word Write Access (address ignored).\n10: Even Word Write Access 
(address ignored).\n11: All Word Write Access (address ignored).\nThis field only affects write operations.\n\n\n 
{hdl_path ee_block_mode_q} {output_coupling true} {scan_val 0}</t>
  </si>
  <si>
    <t>EEPROM read voltage for cell margining. Refer to EEPROM Spec v3.0.\n\n\n {hdl_path ee_vread_q} {output_coupling 
true} {scan_val 0}</t>
  </si>
  <si>
    <t>When set the chip will initiate a Shadow Reload. This bit will clear when complete.  \n {hdl_path ee
_force_reload_q}</t>
  </si>
  <si>
    <t>0x40</t>
  </si>
  <si>
    <t>Latched and held high when a DBE has occurred.\n {hdl_path ee_dbe_flag_q}</t>
  </si>
  <si>
    <t>Latched and held high when a SBE has occurred.\n {hdl_path ee_sbe_flag_q}</t>
  </si>
  <si>
    <t>Reflects bits [29:24] to be written to the EEPROM or read from the EEPROM. This allows for a manual write 
to the EEPROM or will contain data read from the EEPROM if margining or self check fails.\n {hdl_path 
ee_ecc_q}</t>
  </si>
  <si>
    <t>Reflects the read/write address to the EEPROM. This allows for a manual write to the EEPROM or will contain 
data read from the EEPROM if margining or self check fails.\nThe default value must point to the POR 
trimming data.\n {hdl_path ee_addr_q}</t>
  </si>
  <si>
    <t>Status of the most recent EEPROM write error.\nBit[4]:\n0: error occurred during erase.\n1: error occurred 
during program.\nBit[3]:\n0: error occurred during ramp up.\n1: error occurred during ramp down.\nBit 
2: program pulse value.\nBit 1: hlat value.\nBit 0: llat value.\n {hdl_path ee_err_status_q}</t>
  </si>
  <si>
    <t>ro</t>
  </si>
  <si>
    <t>High to indicate an error occurred during charge pump ramp. ee_err_status stores information about the 
error. This bit is latch and hold with clear on read.\n {hdl_path cp_err_q}</t>
  </si>
  <si>
    <t>rc</t>
  </si>
  <si>
    <t>Indicates an EEPROM write error occurred. This bit is latch and hold with clear on read.\n {hdl_path 
ee_err_q}</t>
  </si>
  <si>
    <t>0x41</t>
  </si>
  <si>
    <t>Contains the data for an EEPROM access. On a write this register contains the written data, on a read 
this register contains the read data. This allows for a manual write to the EEPROM or will contain data 
read from the EEPROM if margining or self check fails.\n {hdl_path ee_data_q}</t>
  </si>
  <si>
    <t>0x42</t>
  </si>
  <si>
    <t>Causes margin or pattern testing to loop until an error is found.\n {hdl_path ee_loop_q}</t>
  </si>
  <si>
    <t>If ee_use_tst_addr is set, then margining or pattern test will start at this address. If the test fails, 
this will contain the failing address. \n {hdl_path ee_test_addr_q}</t>
  </si>
  <si>
    <t>0: No effect.\n1: Uses ee_test_addr as the start address for margining. \nIf ee_loop is set, this bit 
is ignored and the starting address is always 0x0\n {hdl_path ee_use_test_addr_q}</t>
  </si>
  <si>
    <t>If margining fails, this bit indicates if the min or max reference failed.\n0: Min margining failed.\n1: 
Max margining failed. \n {hdl_path margin_min_max_fail_q}</t>
  </si>
  <si>
    <t>Bits are cleared after a read or reset.\n\s\s00: Reset condition (no result from margin testing).\n\s\s01: 
Pass, no failure detected during margin testing.\n\s\s10: Fail, failure detected during margin testing.\n\s\s11: 
Running, margin test is still running.\n {hdl_path margin_status_q}</t>
  </si>
  <si>
    <t>Does not perform minimum margin testing.\n0: Margining done a min voltage.\n1: No margining at min voltage.\n 
{hdl_path margin_no_min_q}</t>
  </si>
  <si>
    <t>Does not perform maximum margin testing.\n0: Margining done a max voltage.\n1: No margining at max voltage.\n 
{hdl_path margin_no_max_q}</t>
  </si>
  <si>
    <t>Write to 1 to start margin testing. If EE_LOOP is low, this bit will self clear when address 0xB is reached. 
If EE_LOOP is high, this bit must be written to 0 to stop test. This bit always clears on a fail.\n 
{hdl_path margin_start_q}</t>
  </si>
  <si>
    <t>0x43</t>
  </si>
  <si>
    <t>Defines the pattern that will be checked when reading the EEPROM.\n00: All 0s.\n01: All 1s.\n10: Checker 
board starting at 0x0 with '010101.'\n11: Checker board starting at 0x0 with '101010.' \n {hdl_path 
pat_test_pattern_q}</t>
  </si>
  <si>
    <t>00: Reset condition (no result from pat testing).\n01: Pass, no failure detected during pat testing.\n10: 
Fail, failure detected during pat testing.\n11: Running, pat test is still running.\n {hdl_path pat
_test_status_q}</t>
  </si>
  <si>
    <t>Write to 1 to start pattern check testing. If EE_LOOP is low, this bit will self clear when address 0xB 
is reached. If EE_LOOP is high, this bit must be written to 0 to stop test. This bit always clears on 
a fail.\n\n {hdl_path pat_test_start_q} {u_block_volatile_output true}</t>
  </si>
  <si>
    <t>0x44</t>
  </si>
  <si>
    <t>When '1' is written, the digital signal path is reset.\nWhen is read, always returns '0'.\n\n {hdl_path 
u_dig_top.u_dft_wrapper.u_scan_wrapper.u_functional_top.u_ids_top.u_direct_regmap.volatile_dft_soft_rst_q} 
{u_block_volatile_output true}</t>
  </si>
  <si>
    <t>wo</t>
  </si>
  <si>
    <t>When '1' the digital signal path is stopped.\n\n {hdl_path u_dig_top.u_dft_wrapper.u_scan_wrapper.u_functional_top.u_ids_top.u_direct_regmap.volatile_dft_stop_q} 
{u_block_volatile_output true}</t>
  </si>
  <si>
    <t>When dsp_stop='1', by writing '1' to the dsp_run_step will run the digital signal path by one clock cycle.\n\n 
{hdl_path u_dig_top.u_dft_wrapper.u_scan_wrapper.u_functional_top.u_ids_top.u_direct_regmap.volatile_dft_run_step_q} 
{u_block_volatile_output true}</t>
  </si>
  <si>
    <t>ABIST pass.\n {registered false}</t>
  </si>
  <si>
    <t>LBIST pass.\n {registered false}</t>
  </si>
  <si>
    <t>BIST done. When '1', LBIST and ABIST has finished.\n {registered false}</t>
  </si>
  <si>
    <t>BIST start. When '1', LBIST and then ABIST start. It fires up BIST configured by user_st EEPROM/Shadow 
field.\n {registered false}</t>
  </si>
  <si>
    <t>Delay fault enable.\n\n {registered false} {hdl_path u_dig_top.u_scan_mngr.dly_fault_r}</t>
  </si>
  <si>
    <t>Iddq mode enable.\n\n {registered false} {hdl_path u_dig_top.u_scan_mngr.iddq_mode_r}</t>
  </si>
  <si>
    <t>Scan mode enable.\nWhen is read, always returns '0'.\n\n {registered false} {hdl_path u_dig_top.u_sc
an_mngr.scan_mode_r}</t>
  </si>
  <si>
    <t>0x45</t>
  </si>
  <si>
    <t>Access key. Always returns '0' on read.\n\n {hdl_path u_dig_top.u_dft_wrapper.u_scan_wrapper.u_functional_top.u_ids_top.u_direct_regmap.volatile_access_access_key_q} 
{registered false}</t>
  </si>
  <si>
    <t xml:space="preserve"> {hdl_path u_dig_top.u_dft_wrapper.u_scan_wrapper.u_functional_top.u_mem_lock_ctrlr.factory_register_lock_wr} 
{registered false}</t>
  </si>
  <si>
    <t xml:space="preserve"> {hdl_path u_dig_top.u_dft_wrapper.u_scan_wrapper.u_functional_top.u_mem_lock_ctrlr.factory_register_lock_rd} 
{registered false}</t>
  </si>
  <si>
    <t xml:space="preserve"> {hdl_path u_dig_top.u_dft_wrapper.u_scan_wrapper.u_functional_top.u_mem_lock_ctrlr.factory_eeprom_lock_wr} 
{registered false}</t>
  </si>
  <si>
    <t xml:space="preserve"> {hdl_path u_dig_top.u_dft_wrapper.u_scan_wrapper.u_functional_top.u_mem_lock_ctrlr.factory_eeprom_lock_rd} 
{registered false}</t>
  </si>
  <si>
    <t xml:space="preserve"> {hdl_path u_dig_top.u_dft_wrapper.u_scan_wrapper.u_functional_top.u_mem_lock_ctrlr.customer_register_lock_wr} 
{registered false}</t>
  </si>
  <si>
    <t xml:space="preserve"> {hdl_path u_dig_top.u_dft_wrapper.u_scan_wrapper.u_functional_top.u_mem_lock_ctrlr.customer_register_lock_rd} 
{registered false}</t>
  </si>
  <si>
    <t xml:space="preserve"> {hdl_path u_dig_top.u_dft_wrapper.u_scan_wrapper.u_functional_top.u_mem_lock_ctrlr.customer_eeprom_lock_wr} 
{registered false}</t>
  </si>
  <si>
    <t xml:space="preserve"> {hdl_path u_dig_top.u_dft_wrapper.u_scan_wrapper.u_functional_top.u_mem_lock_ctrlr.customer_eeprom_lock_rd} 
{registered false}</t>
  </si>
  <si>
    <t>Factory access enabled. This field is also part of the access code when is written, i.e. the access key 
is 32 bits wide.\n0 = Factory closed.\n1 = Factory open.\n\n {hdl_path u_dig_top.u_dft_wrapper.u_scan_wrapper.u_functional_top.u_ids_top.factory_access_in} 
{registered false}</t>
  </si>
  <si>
    <t>Customer access enabled. This field is also part of the access code when is written, i.e. the access 
key is 32 bits wide.\n0 = Customer closed.\n1 = Customer open.\n\n {hdl_path u_dig_top.u_dft_wrapper.u_scan_wrapper.u_functional_top.u_ids_top.customer_access_in} 
{registered false}</t>
  </si>
  <si>
    <t>0x46</t>
  </si>
  <si>
    <t>DSC value (Rev_letter_1, Rev_letter_0, Part_number).\n[29:25]: Revision letter 1.\n[24:20]: Revision 
letter 0.\n[19:0]: 6-digits part number.\n\n\n {hdl_path u_dig_top.die_source_code} {registered false} 
{input_coupling true}</t>
  </si>
  <si>
    <t>0x47</t>
  </si>
  <si>
    <t>Spare test modes.\n\n {hdl_path tm_spare_q} {u_block_volatile_output true}</t>
  </si>
  <si>
    <t>When '1', secondary coil (if not disable) runs at frequency selected by coil_freq EEPROM field.\n\n {hdl_path 
tm_scoil_hf_q} {u_block_volatile_output true}</t>
  </si>
  <si>
    <t>When '1', TMR clock is disabled (held on a constant value).\n\n {hdl_path tm_tmr_clk_dis_q} {u_block_volatile_output 
true}</t>
  </si>
  <si>
    <t>When tm_tmr_clk_dis='1', selects the polarity of the TRM clock.\n\n {hdl_path tm_tmr_clk_pol_q} {u_block_volatile_output 
true}</t>
  </si>
  <si>
    <t>When '1', the output is driven by the clock divided by 1024.\n\n {hdl_path tm_clk2out_q} {u_block_volatile_output 
true}</t>
  </si>
  <si>
    <t>When '1', forces the output to high-Z state. This one has precedence over tm_force_out_low\n\n {hdl_path 
tm_force_out_z_q} {u_block_volatile_output true}</t>
  </si>
  <si>
    <t>When '1', forces the output to LOW state.\n\n {hdl_path tm_force_out_low_q} {u_block_volatile_output 
true}</t>
  </si>
  <si>
    <t>When '1', the main coil is disabled.\n\n {hdl_path tm_mcoil_dis_q} {u_block_volatile_output true}</t>
  </si>
  <si>
    <t>0x50</t>
  </si>
  <si>
    <t>Spare test modes for analog domain.\n\n\n\n {output_coupling true} {scan_val 0} {hdl_path d_tm_spare_q} 
{u_block_volatile_output true}</t>
  </si>
  <si>
    <t xml:space="preserve"> {output_coupling true} {scan_val 0} {hdl_path d_tm_coil_sftshrt_e_q} {u_block_volatile_output true}</t>
  </si>
  <si>
    <t>When '1', the power system POK output is forced to be '1' regardless the current VCC value.\n\n\n\n {output_coupling 
true} {scan_val 0} {hdl_path d_tm_pok_ps_q} {u_block_volatile_output true}</t>
  </si>
  <si>
    <t>Load test for analog buffers. Before activating this test mode, the tm_mcoil_dis must be set high.\n\n\n\n 
{output_coupling true} {scan_val 0} {hdl_path d_tm_load_e_q} {u_block_volatile_output true}</t>
  </si>
  <si>
    <t>When '1', the input to CTSDM channel 2 is shorted.\n\n\n\n {output_coupling true} {scan_val 0} {hdl_path 
d_tm_sd_short_2_q} {u_block_volatile_output true}</t>
  </si>
  <si>
    <t>When '1', the input to CTSDM channel 1 is shorted.\n\n\n\n {output_coupling true} {scan_val 0} {hdl_path 
d_tm_sd_short_1_q} {u_block_volatile_output true}</t>
  </si>
  <si>
    <t>When '1', the input to AFE channel 2 is shorted.\n\n\n\n {output_coupling true} {scan_val 0} {hdl_path 
d_tm_afe_short_2_q} {u_block_volatile_output true}</t>
  </si>
  <si>
    <t>When '1', the input to AFE channel 1 is shorted.\n\n\n\n {output_coupling true} {scan_val 0} {hdl_path 
d_tm_afe_short_1_q} {u_block_volatile_output true}</t>
  </si>
  <si>
    <t>0x51</t>
  </si>
  <si>
    <t>Debugging probe pad selection.\n'0000': GND.\n'0001': TMR1_N, TMR1_P\n'0010': TMR2_N, TMR2_P\n'0011': 
TMRAMP1_N, TMRAMP1_P\n'0100': TMRAMP2_N, TMRAMP2_P\n'0101': FEOUT1_N, FEAOUT1_P.\n'0110': FEOUT2_N, 
FEAOUT2_P.\n'0111': SDM1, CK_SDM\n'1000': SDM2, CK_SDM\n\n\n\n {output_coupling true} {scan_val 0} {hdl_path 
d_de_mux_sel_q} {u_block_volatile_output true}</t>
  </si>
  <si>
    <t>Output analog mux selection.\n'0000': Digital output.\n'0001': VBGint\n'0010': VREF 1V\n'0011': IB10N_FLAT_TRIMMED\n'0100': 
VPOSA_COIL\n'0101': VPOSA_CLEAN\n'0110': VPOSA_NOISY\n'0111': VTMR_N\n'1000': VTMR_P\n'1001': IOSC_COPY\n'1010': 
CMREF_SDM\n'1011': VPOS_LV\n'1100': VPOSD \n'1101': ISECOIL\n'1110': EE_CPDIV\n'1111': EE_REFOUT\n\n\n\n 
{output_coupling true} {scan_val 0} {hdl_path d_pe_amux_sel_q} {u_block_volatile_output true}</t>
  </si>
  <si>
    <t>0x52</t>
  </si>
  <si>
    <t>Normalized position after divisor.\n\n {registered false} {hdl_path p_toids}</t>
  </si>
  <si>
    <t>0x53</t>
  </si>
  <si>
    <t>TMR2 sensed value.\n\n {registered false} {hdl_path v1_toids}</t>
  </si>
  <si>
    <t>TMR1 sensed value.\n\n {registered false} {hdl_path v2_toids}</t>
  </si>
  <si>
    <t>0x54</t>
  </si>
  <si>
    <t>V1 plus V2 divided by 2.\n\n {registered false} {hdl_path v1_ p_v2_div2_toids}</t>
  </si>
  <si>
    <t>V1 minus V2 divided by 2.\n\n {registered false} {hdl_path v1_m_v2_div2_toids}</t>
  </si>
  <si>
    <t>0x55</t>
  </si>
  <si>
    <t>Output of RRL CIC (channel 2).\n\n {registered false} {hdl_path rrl_cic_out_2_toids}</t>
  </si>
  <si>
    <t>Output of RRL CIC (channel 1).\n\n {registered false} {hdl_path rrl_cic2_out_1_toids}</t>
  </si>
  <si>
    <t>0x56</t>
  </si>
  <si>
    <t>RRL integrator value (channel 2).\n\n {registered false} {hdl_path rrl_int_out_2_toids}</t>
  </si>
  <si>
    <t>RRL integrator value (channel 1).\n\n {registered false} {hdl_path rrl_int_out_1_toids}</t>
  </si>
  <si>
    <t>0x57</t>
  </si>
  <si>
    <t>RRL feedback DAC value (channel 2).\n\n {registered false} {hdl_path rrl_feedback_2_toids}</t>
  </si>
  <si>
    <t>RRL feedback DAC value (channel 1).\n\n {registered false} {hdl_path rrl_feedback_1_toids}</t>
  </si>
  <si>
    <t>0x58</t>
  </si>
  <si>
    <t>TMR voltage supply value.\n\n {registered false} {hdl_path dac_tmr_toids}</t>
  </si>
  <si>
    <t>Tiny_temp sensed temperature.\n\n {registered false} {hdl_path tt_temp_toids}</t>
  </si>
  <si>
    <t>0x59</t>
  </si>
  <si>
    <t xml:space="preserve"> {registered false} {hdl_path a2_toids}</t>
  </si>
  <si>
    <t xml:space="preserve"> {registered false} {hdl_path a1_toids}</t>
  </si>
  <si>
    <t>0x5A</t>
  </si>
  <si>
    <t xml:space="preserve"> {registered false} {hdl_path vo2_toids}</t>
  </si>
  <si>
    <t xml:space="preserve"> {registered false} {hdl_path vo1_toids}</t>
  </si>
  <si>
    <t>0x5B</t>
  </si>
  <si>
    <t xml:space="preserve"> {registered false} {hdl_path v2_m_vo2_toids}</t>
  </si>
  <si>
    <t xml:space="preserve"> {registered false} {hdl_path v1_m_vo1_toids}</t>
  </si>
  <si>
    <t>0x5C</t>
  </si>
  <si>
    <t xml:space="preserve"> {registered false} {hdl_path v2_comp_toids}</t>
  </si>
  <si>
    <t xml:space="preserve"> {registered false} {hdl_path v1_comp_toids}</t>
  </si>
  <si>
    <t>0x5D</t>
  </si>
  <si>
    <t xml:space="preserve"> {registered false} {hdl_path kr_toids}</t>
  </si>
  <si>
    <t xml:space="preserve"> {registered false} {hdl_path p_m_delta_d_toids}</t>
  </si>
  <si>
    <t>0x5E</t>
  </si>
  <si>
    <t>When '1', RRL is locked.\n\n {registered false} {hdl_path rrl_lock_toids}</t>
  </si>
  <si>
    <t xml:space="preserve"> {registered false} {hdl_path kr_m_offset_toids}</t>
  </si>
  <si>
    <t>0x5F</t>
  </si>
  <si>
    <t xml:space="preserve"> {registered false} {hdl_path v2_sec_toids}</t>
  </si>
  <si>
    <t xml:space="preserve"> {registered false} {hdl_path v1_sec_toids}</t>
  </si>
  <si>
    <t>0x60</t>
  </si>
  <si>
    <t>Compensated KR (after trimming + factory gain-offset + customer gain-offset, input to the BW_sel LPF).\n\n 
{registered false} {hdl_path kr_comp_toids}</t>
  </si>
  <si>
    <t>0x61</t>
  </si>
  <si>
    <t>V1_sec / V2_sec.\n\n {registered false} {hdl_path p_sec_toids}</t>
  </si>
  <si>
    <t>0x62</t>
  </si>
  <si>
    <t>Output of linearization block.\n\n {registered false} {hdl_path lin_out_toids}</t>
  </si>
  <si>
    <t>BW selection LPF output.\n\n {registered false} {hdl_path bw_sel_out_toids}</t>
  </si>
  <si>
    <t>0x63</t>
  </si>
  <si>
    <t>SENT Debug information:\n\s29:27  PHY state\n\s26        Bad sequencer state\n\s25        SSENT error\n\s24 
       Bus synchronized\n\s23:20  Sequencer state\n\s19:18  Last interpreted ID off bus\n\s17:9    Last 
measured high pulse in ticks\n\s8:0      Last measured low pulse in ticks\n\n {registered false} {hdl_path 
debug}</t>
  </si>
  <si>
    <t>0x64</t>
  </si>
  <si>
    <t>Reserved for spare purposes.\n {hdl_path vol_fill_me_64_q}</t>
  </si>
  <si>
    <t>Reserved for communication testing purposes.\n {hdl_path comm_test_q}</t>
  </si>
  <si>
    <t>0x65</t>
  </si>
  <si>
    <t>Expected LBIST signature.\n\n {registered false} {hdl_path lbist_exp_misr_final_toids}</t>
  </si>
  <si>
    <t>0x66</t>
  </si>
  <si>
    <t>Calculated LBIST signature.\n\n {registered false} {hdl_path calc_misr_final_toids}</t>
  </si>
  <si>
    <t>0x67</t>
  </si>
  <si>
    <t>Calculated ABIST signature.\n\n {registered false} {hdl_path abist_signature}</t>
  </si>
  <si>
    <t>0x68</t>
  </si>
  <si>
    <t>When '1', the output clamper is overridden.\n {hdl_path clmp_out_override_q}</t>
  </si>
  <si>
    <t>When clmp_out_override is '1' this field is the value to be overwritten at the clamper output. Otherwise, 
it is the current clamper output.\n {hdl_path clmp_out_val_q}</t>
  </si>
  <si>
    <t>0x69</t>
  </si>
  <si>
    <t>Allows continues Manchester R/W commands with the analog output being disabled without overdriving the 
output pin nor OVLO signaling.\n {hdl_path manch_comm_e_q}</t>
  </si>
  <si>
    <t>Reserved for spare purposes.\n {hdl_path vol_fill_me_70_q}</t>
  </si>
  <si>
    <t>0x70</t>
  </si>
  <si>
    <t>Status register 0.\n[7]: sl_error\n[6]: sl_v1_div_v2_oor\n[5]: sl_v1_m_v2_oor\n[4]: ids_shadow_parity_err\n[3]: 
a_coil_current_ov\n[2]: sup_hv_err\n[1]: sup_ov_err\n[0]: sup_uv_err\n\n {registered false} {hdl_path 
status_0}</t>
  </si>
  <si>
    <t>0x71</t>
  </si>
  <si>
    <t>Status register 1.\n[29]: sl_v1_m_v2_oor_hi\n[28]: sl_v1_m_v2_oor_lo\n[27]: sl_v1_div_v2_oor_hi\n[26]: 
sl_v1_div_v2_oor_lo\n[25]: sl_kalman_p_oor_hi\n[24]: sl_kalman_p_oor_lo\n[23]: sl_rrl_int1_oor_hi\n[22]: 
sl_rrl_int1_oor_lo\n[21]: sl_rrl_int2_oor_hi\n[20]: sl_rrl_int2_oor_lo\n[19]: sl_bwsel_oor_hi\n[18]: 
sl_bwsel_oor_lo\n[17]: sl_div_by_zero\n[16]: sl_rrl_cic21_oor_hi\n[15]: sl_rrl_cic21_oor_lo\n[14]: sl_rrl_cic22_oor_hi\n[13]: 
sl_rrl_cic22_oor_lo\n[12]: sl_p_oor_hi\n[11]: sl_p_sec_oor_hi\n[10]: sl_linearization_oor_hi\n[9]: sl_linearization_oor_lo\n[8]: 
sl_clmp_oor_hi\n[7]: sl_clmp_oor_lo\n[6]: sl_rrl_cic11_oor_hi\n[5]: sl_rrl_cic11_oor_lo\n[4]: sl_rrl_cic12_oor_hi\n[3]: 
sl_rrl_cic12_oor_lo\n[2]: sl_cic41_sign_error\n[1]: sl_cic42_sign_error\n[0]: sl_v1_m_v2_sign_error\n\n 
{registered false} {hdl_path status_1}</t>
  </si>
  <si>
    <t>0x72</t>
  </si>
  <si>
    <t>volatile 32 64</t>
  </si>
  <si>
    <t>Addr</t>
  </si>
  <si>
    <t>Field Name</t>
  </si>
  <si>
    <t>Desc</t>
  </si>
  <si>
    <t>Access</t>
  </si>
  <si>
    <t>Size</t>
  </si>
  <si>
    <t>MSB</t>
  </si>
  <si>
    <t>LSB</t>
  </si>
  <si>
    <t>User Input
Decimal Value</t>
  </si>
  <si>
    <t>Weight</t>
  </si>
  <si>
    <t>Binary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</si>
</sst>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1"/>
      <color rgb="FF000000"/>
      <name val="Calibri"/>
      <family val="2"/>
    </font>
    <font>
      <sz val="10"/>
      <name val="Arial"/>
      <family val="2"/>
    </font>
    <font>
      <sz val="9"/>
      <color indexed="81"/>
      <name val="Tahoma"/>
      <family val="2"/>
    </font>
    <font>
      <b/>
      <sz val="24"/>
      <color theme="1"/>
      <name val="Calibri"/>
      <family val="2"/>
      <scheme val="minor"/>
    </font>
    <font>
      <b/>
      <sz val="12"/>
      <color theme="1"/>
      <name val="Calibri"/>
      <family val="2"/>
      <scheme val="minor"/>
    </font>
  </fonts>
  <fills count="23">
    <fill>
      <patternFill patternType="none"/>
    </fill>
    <fill>
      <patternFill patternType="gray125"/>
    </fill>
    <fill>
      <patternFill patternType="lightDown"/>
    </fill>
    <fill>
      <patternFill patternType="solid">
        <fgColor rgb="FFC5D9F1"/>
        <bgColor indexed="64"/>
      </patternFill>
    </fill>
    <fill>
      <patternFill patternType="lightDown">
        <bgColor rgb="FFC5D9F1"/>
      </patternFill>
    </fill>
    <fill>
      <patternFill patternType="solid">
        <fgColor rgb="FFEBF1DE"/>
        <bgColor indexed="64"/>
      </patternFill>
    </fill>
    <fill>
      <patternFill patternType="lightDown">
        <bgColor rgb="FFEBF1DE"/>
      </patternFill>
    </fill>
    <fill>
      <patternFill patternType="solid">
        <fgColor rgb="FFD8E4BC"/>
        <bgColor indexed="64"/>
      </patternFill>
    </fill>
    <fill>
      <patternFill patternType="lightDown">
        <bgColor rgb="FFD8E4BC"/>
      </patternFill>
    </fill>
    <fill>
      <patternFill patternType="solid">
        <fgColor rgb="FF8DB4E2"/>
        <bgColor indexed="64"/>
      </patternFill>
    </fill>
    <fill>
      <patternFill patternType="lightDown">
        <bgColor rgb="FF8DB4E2"/>
      </patternFill>
    </fill>
    <fill>
      <patternFill patternType="solid">
        <fgColor rgb="FFC4D79B"/>
        <bgColor indexed="64"/>
      </patternFill>
    </fill>
    <fill>
      <patternFill patternType="lightDown">
        <bgColor rgb="FFC4D79B"/>
      </patternFill>
    </fill>
    <fill>
      <patternFill patternType="solid">
        <fgColor rgb="FFBFBFBF"/>
        <bgColor indexed="64"/>
      </patternFill>
    </fill>
    <fill>
      <patternFill patternType="solid">
        <fgColor rgb="FF538DD5"/>
        <bgColor indexed="64"/>
      </patternFill>
    </fill>
    <fill>
      <patternFill patternType="lightDown">
        <bgColor rgb="FF538DD5"/>
      </patternFill>
    </fill>
    <fill>
      <patternFill patternType="solid">
        <fgColor rgb="FFFFFFFF"/>
        <bgColor indexed="64"/>
      </patternFill>
    </fill>
    <fill>
      <patternFill patternType="solid">
        <fgColor rgb="FFF2F2F2"/>
        <bgColor indexed="64"/>
      </patternFill>
    </fill>
    <fill>
      <patternFill patternType="solid">
        <fgColor rgb="FFD9D9D9"/>
        <bgColor indexed="64"/>
      </patternFill>
    </fill>
    <fill>
      <patternFill patternType="solid">
        <fgColor rgb="FFF7F7D5"/>
        <bgColor indexed="64"/>
      </patternFill>
    </fill>
    <fill>
      <patternFill patternType="solid">
        <fgColor rgb="FFE6B9B9"/>
        <bgColor indexed="64"/>
      </patternFill>
    </fill>
    <fill>
      <patternFill patternType="solid">
        <fgColor rgb="FFC8C8C8"/>
        <bgColor indexed="64"/>
      </patternFill>
    </fill>
    <fill>
      <patternFill patternType="solid">
        <fgColor rgb="FF95F78A"/>
        <bgColor indexed="64"/>
      </patternFill>
    </fill>
  </fills>
  <borders count="49">
    <border>
      <left/>
      <right/>
      <top/>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diagonal/>
    </border>
    <border>
      <left style="thick">
        <color indexed="64"/>
      </left>
      <right style="thin">
        <color auto="1"/>
      </right>
      <top style="thin">
        <color indexed="64"/>
      </top>
      <bottom/>
      <diagonal/>
    </border>
    <border>
      <left style="thin">
        <color indexed="64"/>
      </left>
      <right style="thin">
        <color auto="1"/>
      </right>
      <top style="thick">
        <color indexed="64"/>
      </top>
      <bottom style="thin">
        <color indexed="64"/>
      </bottom>
      <diagonal/>
    </border>
    <border>
      <left/>
      <right style="thin">
        <color auto="1"/>
      </right>
      <top style="thick">
        <color indexed="64"/>
      </top>
      <bottom style="thin">
        <color indexed="64"/>
      </bottom>
      <diagonal/>
    </border>
    <border>
      <left/>
      <right style="thin">
        <color auto="1"/>
      </right>
      <top style="thin">
        <color indexed="64"/>
      </top>
      <bottom style="thin">
        <color indexed="64"/>
      </bottom>
      <diagonal/>
    </border>
    <border>
      <left/>
      <right style="thin">
        <color auto="1"/>
      </right>
      <top style="thin">
        <color indexed="64"/>
      </top>
      <bottom/>
      <diagonal/>
    </border>
    <border>
      <left style="thick">
        <color auto="1"/>
      </left>
      <right style="thick">
        <color auto="1"/>
      </right>
      <top style="thick">
        <color indexed="64"/>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style="thick">
        <color indexed="64"/>
      </top>
      <bottom style="thin">
        <color indexed="64"/>
      </bottom>
      <diagonal/>
    </border>
    <border>
      <left style="thin">
        <color auto="1"/>
      </left>
      <right style="thin">
        <color auto="1"/>
      </right>
      <top style="thin">
        <color indexed="64"/>
      </top>
      <bottom style="thin">
        <color indexed="64"/>
      </bottom>
      <diagonal/>
    </border>
    <border>
      <left/>
      <right style="thin">
        <color auto="1"/>
      </right>
      <top style="thick">
        <color indexed="64"/>
      </top>
      <bottom style="thin">
        <color indexed="64"/>
      </bottom>
      <diagonal/>
    </border>
    <border>
      <left/>
      <right style="thin">
        <color auto="1"/>
      </right>
      <top style="thin">
        <color indexed="64"/>
      </top>
      <bottom style="thin">
        <color indexed="64"/>
      </bottom>
      <diagonal/>
    </border>
    <border>
      <left/>
      <right style="thin">
        <color auto="1"/>
      </right>
      <top style="thin">
        <color indexed="64"/>
      </top>
      <bottom/>
      <diagonal/>
    </border>
    <border>
      <left style="thin">
        <color auto="1"/>
      </left>
      <right style="thin">
        <color auto="1"/>
      </right>
      <top style="thick">
        <color indexed="64"/>
      </top>
      <bottom style="thin">
        <color indexed="64"/>
      </bottom>
      <diagonal/>
    </border>
    <border>
      <left style="thick">
        <color indexed="64"/>
      </left>
      <right style="thick">
        <color auto="1"/>
      </right>
      <top style="thick">
        <color indexed="64"/>
      </top>
      <bottom/>
      <diagonal/>
    </border>
    <border>
      <left style="thick">
        <color auto="1"/>
      </left>
      <right style="thick">
        <color auto="1"/>
      </right>
      <top style="thick">
        <color indexed="64"/>
      </top>
      <bottom/>
      <diagonal/>
    </border>
    <border>
      <left style="thick">
        <color indexed="64"/>
      </left>
      <right style="thick">
        <color auto="1"/>
      </right>
      <top/>
      <bottom style="thick">
        <color indexed="64"/>
      </bottom>
      <diagonal/>
    </border>
    <border>
      <left style="thick">
        <color auto="1"/>
      </left>
      <right style="thick">
        <color auto="1"/>
      </right>
      <top/>
      <bottom style="thick">
        <color indexed="64"/>
      </bottom>
      <diagonal/>
    </border>
    <border>
      <left style="thick">
        <color auto="1"/>
      </left>
      <right style="thick">
        <color indexed="64"/>
      </right>
      <top style="thin">
        <color auto="1"/>
      </top>
      <bottom style="thin">
        <color auto="1"/>
      </bottom>
      <diagonal/>
    </border>
    <border>
      <left style="thick">
        <color indexed="64"/>
      </left>
      <right style="thick">
        <color auto="1"/>
      </right>
      <top style="thick">
        <color indexed="64"/>
      </top>
      <bottom style="thin">
        <color indexed="64"/>
      </bottom>
      <diagonal/>
    </border>
    <border>
      <left style="thick">
        <color auto="1"/>
      </left>
      <right style="thick">
        <color auto="1"/>
      </right>
      <top style="thick">
        <color indexed="64"/>
      </top>
      <bottom style="thin">
        <color indexed="64"/>
      </bottom>
      <diagonal/>
    </border>
    <border>
      <left style="thick">
        <color indexed="64"/>
      </left>
      <right style="thick">
        <color auto="1"/>
      </right>
      <top style="thin">
        <color indexed="64"/>
      </top>
      <bottom style="thin">
        <color indexed="64"/>
      </bottom>
      <diagonal/>
    </border>
    <border>
      <left style="thick">
        <color auto="1"/>
      </left>
      <right style="thick">
        <color auto="1"/>
      </right>
      <top style="thin">
        <color indexed="64"/>
      </top>
      <bottom style="thin">
        <color indexed="64"/>
      </bottom>
      <diagonal/>
    </border>
    <border>
      <left style="thick">
        <color indexed="64"/>
      </left>
      <right style="thick">
        <color auto="1"/>
      </right>
      <top style="thin">
        <color indexed="64"/>
      </top>
      <bottom/>
      <diagonal/>
    </border>
    <border>
      <left style="thick">
        <color auto="1"/>
      </left>
      <right style="thick">
        <color auto="1"/>
      </right>
      <top style="thin">
        <color indexed="64"/>
      </top>
      <bottom/>
      <diagonal/>
    </border>
    <border>
      <left style="thick">
        <color indexed="64"/>
      </left>
      <right style="thick">
        <color auto="1"/>
      </right>
      <top style="thin">
        <color indexed="64"/>
      </top>
      <bottom style="thick">
        <color indexed="64"/>
      </bottom>
      <diagonal/>
    </border>
    <border>
      <left style="thick">
        <color auto="1"/>
      </left>
      <right style="thick">
        <color auto="1"/>
      </right>
      <top style="thin">
        <color indexed="64"/>
      </top>
      <bottom style="thick">
        <color indexed="64"/>
      </bottom>
      <diagonal/>
    </border>
    <border>
      <left style="thick">
        <color auto="1"/>
      </left>
      <right style="thick">
        <color indexed="64"/>
      </right>
      <top style="thin">
        <color auto="1"/>
      </top>
      <bottom style="thick">
        <color indexed="64"/>
      </bottom>
      <diagonal/>
    </border>
    <border>
      <left style="thick">
        <color auto="1"/>
      </left>
      <right style="thick">
        <color auto="1"/>
      </right>
      <top/>
      <bottom/>
      <diagonal/>
    </border>
    <border>
      <left style="thick">
        <color auto="1"/>
      </left>
      <right/>
      <top style="thin">
        <color auto="1"/>
      </top>
      <bottom style="thick">
        <color indexed="64"/>
      </bottom>
      <diagonal/>
    </border>
    <border>
      <left style="thick">
        <color auto="1"/>
      </left>
      <right/>
      <top style="thick">
        <color indexed="64"/>
      </top>
      <bottom style="thin">
        <color auto="1"/>
      </bottom>
      <diagonal/>
    </border>
    <border>
      <left style="thick">
        <color indexed="64"/>
      </left>
      <right style="thick">
        <color auto="1"/>
      </right>
      <top/>
      <bottom/>
      <diagonal/>
    </border>
    <border>
      <left style="thick">
        <color auto="1"/>
      </left>
      <right/>
      <top style="thin">
        <color auto="1"/>
      </top>
      <bottom/>
      <diagonal/>
    </border>
    <border>
      <left style="thick">
        <color auto="1"/>
      </left>
      <right/>
      <top style="thick">
        <color indexed="64"/>
      </top>
      <bottom style="thick">
        <color indexed="64"/>
      </bottom>
      <diagonal/>
    </border>
    <border>
      <left style="thin">
        <color auto="1"/>
      </left>
      <right style="thick">
        <color indexed="64"/>
      </right>
      <top style="thin">
        <color indexed="64"/>
      </top>
      <bottom style="thin">
        <color indexed="64"/>
      </bottom>
      <diagonal/>
    </border>
    <border>
      <left style="thin">
        <color auto="1"/>
      </left>
      <right style="thick">
        <color indexed="64"/>
      </right>
      <top style="thick">
        <color indexed="64"/>
      </top>
      <bottom style="thin">
        <color indexed="64"/>
      </bottom>
      <diagonal/>
    </border>
    <border>
      <left style="mediumDashed">
        <color indexed="64"/>
      </left>
      <right style="mediumDashed">
        <color indexed="64"/>
      </right>
      <top style="mediumDashed">
        <color indexed="64"/>
      </top>
      <bottom style="mediumDashed">
        <color indexed="64"/>
      </bottom>
      <diagonal/>
    </border>
  </borders>
  <cellStyleXfs count="2">
    <xf numFmtId="0" fontId="0" fillId="0" borderId="0"/>
    <xf numFmtId="0" fontId="3" fillId="0" borderId="0"/>
  </cellStyleXfs>
  <cellXfs count="269">
    <xf numFmtId="0" fontId="0" fillId="0" borderId="0" xfId="0"/>
    <xf numFmtId="0" fontId="1" fillId="0" borderId="0" xfId="0" applyFont="1"/>
    <xf numFmtId="49" fontId="0" fillId="0" borderId="0" xfId="0" applyNumberFormat="1"/>
    <xf numFmtId="0" fontId="0" fillId="0" borderId="0" xfId="0" applyBorder="1"/>
    <xf numFmtId="0" fontId="0" fillId="2" borderId="1" xfId="0" applyFill="1" applyBorder="1"/>
    <xf numFmtId="0" fontId="0" fillId="2" borderId="4" xfId="0" applyFill="1" applyBorder="1"/>
    <xf numFmtId="0" fontId="0" fillId="15" borderId="1" xfId="0" applyFill="1" applyBorder="1"/>
    <xf numFmtId="0" fontId="0" fillId="2" borderId="7" xfId="0" applyFill="1" applyBorder="1"/>
    <xf numFmtId="0" fontId="0" fillId="2" borderId="8" xfId="0" applyFill="1" applyBorder="1"/>
    <xf numFmtId="0" fontId="0" fillId="16" borderId="0" xfId="0" applyFill="1"/>
    <xf numFmtId="0" fontId="0" fillId="2" borderId="9" xfId="0" applyFill="1" applyBorder="1"/>
    <xf numFmtId="0" fontId="0" fillId="2" borderId="6" xfId="0" applyFill="1" applyBorder="1"/>
    <xf numFmtId="0" fontId="0" fillId="2" borderId="2" xfId="0" applyFill="1" applyBorder="1"/>
    <xf numFmtId="0" fontId="0" fillId="2" borderId="3" xfId="0" applyFill="1" applyBorder="1"/>
    <xf numFmtId="0" fontId="0" fillId="10" borderId="12" xfId="0" applyFill="1" applyBorder="1"/>
    <xf numFmtId="0" fontId="0" fillId="12" borderId="3" xfId="0" applyFill="1" applyBorder="1"/>
    <xf numFmtId="0" fontId="0" fillId="3" borderId="12" xfId="0" applyFill="1" applyBorder="1" applyAlignment="1">
      <alignment horizontal="center" vertical="center" shrinkToFit="1"/>
    </xf>
    <xf numFmtId="0" fontId="0" fillId="5" borderId="12" xfId="0" applyFill="1" applyBorder="1" applyAlignment="1">
      <alignment horizontal="center" vertical="center" shrinkToFit="1"/>
    </xf>
    <xf numFmtId="0" fontId="0" fillId="5" borderId="2" xfId="0" applyFill="1" applyBorder="1" applyAlignment="1">
      <alignment horizontal="center" vertical="center" shrinkToFit="1"/>
    </xf>
    <xf numFmtId="0" fontId="0" fillId="2" borderId="12" xfId="0" applyFill="1" applyBorder="1"/>
    <xf numFmtId="0" fontId="0" fillId="8" borderId="3" xfId="0" applyFill="1" applyBorder="1"/>
    <xf numFmtId="0" fontId="0" fillId="8" borderId="12" xfId="0" applyFill="1" applyBorder="1"/>
    <xf numFmtId="0" fontId="0" fillId="7" borderId="2" xfId="0" applyFill="1" applyBorder="1" applyAlignment="1">
      <alignment horizontal="center" vertical="center" shrinkToFit="1"/>
    </xf>
    <xf numFmtId="0" fontId="0" fillId="10" borderId="3" xfId="0" applyFill="1" applyBorder="1"/>
    <xf numFmtId="0" fontId="0" fillId="12" borderId="12" xfId="0" applyFill="1" applyBorder="1"/>
    <xf numFmtId="0" fontId="0" fillId="11" borderId="2" xfId="0" applyFill="1" applyBorder="1" applyAlignment="1">
      <alignment horizontal="center" vertical="center" shrinkToFit="1"/>
    </xf>
    <xf numFmtId="0" fontId="0" fillId="13" borderId="12" xfId="0" applyFill="1" applyBorder="1" applyAlignment="1">
      <alignment horizontal="center" vertical="center" shrinkToFit="1"/>
    </xf>
    <xf numFmtId="0" fontId="0" fillId="13" borderId="2" xfId="0" applyFill="1" applyBorder="1" applyAlignment="1">
      <alignment horizontal="center" vertical="center" shrinkToFit="1"/>
    </xf>
    <xf numFmtId="0" fontId="0" fillId="15" borderId="3" xfId="0" applyFill="1" applyBorder="1"/>
    <xf numFmtId="0" fontId="0" fillId="15" borderId="12" xfId="0" applyFill="1" applyBorder="1"/>
    <xf numFmtId="0" fontId="0" fillId="14" borderId="2" xfId="0" applyFill="1" applyBorder="1" applyAlignment="1">
      <alignment horizontal="center" vertical="center" shrinkToFit="1"/>
    </xf>
    <xf numFmtId="0" fontId="0" fillId="15" borderId="4" xfId="0" applyFill="1" applyBorder="1"/>
    <xf numFmtId="0" fontId="0" fillId="15" borderId="2" xfId="0" applyFill="1" applyBorder="1"/>
    <xf numFmtId="0" fontId="0" fillId="14" borderId="12" xfId="0" applyFill="1" applyBorder="1" applyAlignment="1">
      <alignment horizontal="center" vertical="center" shrinkToFit="1"/>
    </xf>
    <xf numFmtId="0" fontId="0" fillId="13" borderId="10" xfId="0" applyFill="1" applyBorder="1" applyAlignment="1">
      <alignment horizontal="center" vertical="center" shrinkToFit="1"/>
    </xf>
    <xf numFmtId="0" fontId="0" fillId="13" borderId="1" xfId="0" applyFill="1" applyBorder="1" applyAlignment="1">
      <alignment horizontal="center" vertical="center" shrinkToFit="1"/>
    </xf>
    <xf numFmtId="0" fontId="6" fillId="0" borderId="5" xfId="0" applyFont="1" applyBorder="1" applyAlignment="1">
      <alignment horizontal="center" vertical="center"/>
    </xf>
    <xf numFmtId="0" fontId="0" fillId="14" borderId="10" xfId="0" applyFill="1" applyBorder="1" applyAlignment="1">
      <alignment horizontal="center" vertical="center" shrinkToFit="1"/>
    </xf>
    <xf numFmtId="0" fontId="0" fillId="14" borderId="1" xfId="0" applyFill="1" applyBorder="1" applyAlignment="1">
      <alignment horizontal="center" vertical="center" shrinkToFit="1"/>
    </xf>
    <xf numFmtId="0" fontId="0" fillId="14" borderId="15" xfId="0" applyFill="1" applyBorder="1" applyAlignment="1">
      <alignment horizontal="center" vertical="center" shrinkToFit="1"/>
    </xf>
    <xf numFmtId="0" fontId="0" fillId="9" borderId="11" xfId="0" applyFill="1" applyBorder="1" applyAlignment="1">
      <alignment horizontal="center" vertical="center" shrinkToFit="1"/>
    </xf>
    <xf numFmtId="0" fontId="0" fillId="9" borderId="2" xfId="0" applyFill="1" applyBorder="1" applyAlignment="1">
      <alignment horizontal="center" vertical="center" shrinkToFit="1"/>
    </xf>
    <xf numFmtId="0" fontId="0" fillId="9" borderId="10" xfId="0" applyFill="1" applyBorder="1" applyAlignment="1">
      <alignment horizontal="center" vertical="center" shrinkToFit="1"/>
    </xf>
    <xf numFmtId="0" fontId="0" fillId="9" borderId="1" xfId="0" applyFill="1" applyBorder="1" applyAlignment="1">
      <alignment horizontal="center" vertical="center" shrinkToFit="1"/>
    </xf>
    <xf numFmtId="0" fontId="0" fillId="7" borderId="10" xfId="0" applyFill="1" applyBorder="1" applyAlignment="1">
      <alignment horizontal="center" vertical="center" shrinkToFit="1"/>
    </xf>
    <xf numFmtId="0" fontId="0" fillId="3" borderId="11" xfId="0" applyFill="1" applyBorder="1" applyAlignment="1">
      <alignment horizontal="center" vertical="center" shrinkToFit="1"/>
    </xf>
    <xf numFmtId="0" fontId="0" fillId="3" borderId="2" xfId="0" applyFill="1" applyBorder="1" applyAlignment="1">
      <alignment horizontal="center" vertical="center" shrinkToFit="1"/>
    </xf>
    <xf numFmtId="0" fontId="0" fillId="3" borderId="10" xfId="0" applyFill="1" applyBorder="1" applyAlignment="1">
      <alignment horizontal="center" vertical="center" shrinkToFit="1"/>
    </xf>
    <xf numFmtId="0" fontId="0" fillId="3" borderId="1" xfId="0" applyFill="1" applyBorder="1" applyAlignment="1">
      <alignment horizontal="center" vertical="center" shrinkToFit="1"/>
    </xf>
    <xf numFmtId="0" fontId="0" fillId="5" borderId="10" xfId="0" applyFill="1" applyBorder="1" applyAlignment="1">
      <alignment horizontal="center" vertical="center" shrinkToFit="1"/>
    </xf>
    <xf numFmtId="0" fontId="0" fillId="3" borderId="13" xfId="0" applyFill="1" applyBorder="1" applyAlignment="1">
      <alignment horizontal="center" vertical="center" shrinkToFit="1"/>
    </xf>
    <xf numFmtId="0" fontId="0" fillId="3" borderId="4" xfId="0" applyFill="1" applyBorder="1" applyAlignment="1">
      <alignment horizontal="center" vertical="center" shrinkToFit="1"/>
    </xf>
    <xf numFmtId="0" fontId="0" fillId="9" borderId="4" xfId="0" applyFill="1" applyBorder="1" applyAlignment="1">
      <alignment horizontal="center" vertical="center" shrinkToFit="1"/>
    </xf>
    <xf numFmtId="0" fontId="0" fillId="13" borderId="4" xfId="0" applyFill="1" applyBorder="1" applyAlignment="1">
      <alignment horizontal="center" vertical="center" shrinkToFit="1"/>
    </xf>
    <xf numFmtId="0" fontId="0" fillId="14" borderId="4" xfId="0" applyFill="1" applyBorder="1" applyAlignment="1">
      <alignment horizontal="center" vertical="center" shrinkToFit="1"/>
    </xf>
    <xf numFmtId="0" fontId="0" fillId="14" borderId="3" xfId="0" applyFill="1" applyBorder="1" applyAlignment="1">
      <alignment horizontal="center" vertical="center" shrinkToFit="1"/>
    </xf>
    <xf numFmtId="0" fontId="0" fillId="2" borderId="10" xfId="0" applyFill="1" applyBorder="1"/>
    <xf numFmtId="0" fontId="0" fillId="4" borderId="10" xfId="0" applyFill="1" applyBorder="1"/>
    <xf numFmtId="0" fontId="0" fillId="6" borderId="10" xfId="0" applyFill="1" applyBorder="1"/>
    <xf numFmtId="0" fontId="0" fillId="4" borderId="11" xfId="0" applyFill="1" applyBorder="1"/>
    <xf numFmtId="0" fontId="0" fillId="4" borderId="13" xfId="0" applyFill="1" applyBorder="1"/>
    <xf numFmtId="0" fontId="0" fillId="8" borderId="10" xfId="0" applyFill="1" applyBorder="1"/>
    <xf numFmtId="0" fontId="0" fillId="10" borderId="10" xfId="0" applyFill="1" applyBorder="1"/>
    <xf numFmtId="0" fontId="0" fillId="2" borderId="13" xfId="0" applyFill="1" applyBorder="1"/>
    <xf numFmtId="0" fontId="0" fillId="10" borderId="11" xfId="0" applyFill="1" applyBorder="1"/>
    <xf numFmtId="0" fontId="0" fillId="12" borderId="10" xfId="0" applyFill="1" applyBorder="1"/>
    <xf numFmtId="0" fontId="0" fillId="15" borderId="10" xfId="0" applyFill="1" applyBorder="1"/>
    <xf numFmtId="0" fontId="0" fillId="12" borderId="13" xfId="0" applyFill="1" applyBorder="1"/>
    <xf numFmtId="0" fontId="0" fillId="2" borderId="11" xfId="0" applyFill="1" applyBorder="1"/>
    <xf numFmtId="0" fontId="0" fillId="2" borderId="14" xfId="0" applyFill="1" applyBorder="1"/>
    <xf numFmtId="0" fontId="0" fillId="2" borderId="15" xfId="0" applyFill="1" applyBorder="1"/>
    <xf numFmtId="0" fontId="0" fillId="8" borderId="15" xfId="0" applyFill="1" applyBorder="1"/>
    <xf numFmtId="0" fontId="0" fillId="10" borderId="15" xfId="0" applyFill="1" applyBorder="1"/>
    <xf numFmtId="0" fontId="0" fillId="12" borderId="15" xfId="0" applyFill="1" applyBorder="1"/>
    <xf numFmtId="0" fontId="0" fillId="15" borderId="15" xfId="0" applyFill="1" applyBorder="1"/>
    <xf numFmtId="0" fontId="0" fillId="3" borderId="32" xfId="0" applyFill="1" applyBorder="1"/>
    <xf numFmtId="0" fontId="0" fillId="3" borderId="30" xfId="0" applyFill="1" applyBorder="1"/>
    <xf numFmtId="0" fontId="0" fillId="3" borderId="34" xfId="0" applyFill="1" applyBorder="1"/>
    <xf numFmtId="0" fontId="0" fillId="5" borderId="34" xfId="0" applyFill="1" applyBorder="1"/>
    <xf numFmtId="0" fontId="0" fillId="5" borderId="30" xfId="0" applyFill="1" applyBorder="1"/>
    <xf numFmtId="0" fontId="0" fillId="2" borderId="32" xfId="0" applyFill="1" applyBorder="1"/>
    <xf numFmtId="0" fontId="0" fillId="2" borderId="30" xfId="0" applyFill="1" applyBorder="1"/>
    <xf numFmtId="0" fontId="0" fillId="2" borderId="34" xfId="0" applyFill="1" applyBorder="1"/>
    <xf numFmtId="0" fontId="0" fillId="7" borderId="34" xfId="0" applyFill="1" applyBorder="1"/>
    <xf numFmtId="0" fontId="0" fillId="7" borderId="30" xfId="0" applyFill="1" applyBorder="1"/>
    <xf numFmtId="0" fontId="0" fillId="9" borderId="34" xfId="0" applyFill="1" applyBorder="1"/>
    <xf numFmtId="0" fontId="0" fillId="9" borderId="30" xfId="0" applyFill="1" applyBorder="1"/>
    <xf numFmtId="0" fontId="0" fillId="11" borderId="30" xfId="0" applyFill="1" applyBorder="1"/>
    <xf numFmtId="0" fontId="0" fillId="11" borderId="34" xfId="0" applyFill="1" applyBorder="1"/>
    <xf numFmtId="0" fontId="0" fillId="13" borderId="34" xfId="0" applyFill="1" applyBorder="1"/>
    <xf numFmtId="0" fontId="0" fillId="13" borderId="30" xfId="0" applyFill="1" applyBorder="1"/>
    <xf numFmtId="0" fontId="0" fillId="14" borderId="34" xfId="0" applyFill="1" applyBorder="1"/>
    <xf numFmtId="0" fontId="0" fillId="14" borderId="30" xfId="0" applyFill="1" applyBorder="1"/>
    <xf numFmtId="0" fontId="0" fillId="2" borderId="38" xfId="0" applyFill="1" applyBorder="1"/>
    <xf numFmtId="0" fontId="0" fillId="2" borderId="39" xfId="0" applyFill="1" applyBorder="1"/>
    <xf numFmtId="0" fontId="0" fillId="2" borderId="41" xfId="0" applyFill="1" applyBorder="1"/>
    <xf numFmtId="0" fontId="6" fillId="0" borderId="17" xfId="0" applyFont="1" applyBorder="1" applyAlignment="1">
      <alignment horizontal="center" vertical="center"/>
    </xf>
    <xf numFmtId="0" fontId="0" fillId="3" borderId="42" xfId="0" applyFill="1" applyBorder="1"/>
    <xf numFmtId="0" fontId="0" fillId="3" borderId="44" xfId="0" applyFill="1" applyBorder="1"/>
    <xf numFmtId="0" fontId="0" fillId="5" borderId="42" xfId="0" applyFill="1" applyBorder="1"/>
    <xf numFmtId="0" fontId="0" fillId="6" borderId="13" xfId="0" applyFill="1" applyBorder="1"/>
    <xf numFmtId="0" fontId="0" fillId="5" borderId="13" xfId="0" applyFill="1" applyBorder="1" applyAlignment="1">
      <alignment horizontal="center" vertical="center" shrinkToFit="1"/>
    </xf>
    <xf numFmtId="0" fontId="0" fillId="5" borderId="44" xfId="0" applyFill="1" applyBorder="1"/>
    <xf numFmtId="0" fontId="0" fillId="5" borderId="11" xfId="0" applyFill="1" applyBorder="1" applyAlignment="1">
      <alignment horizontal="center" vertical="center" shrinkToFit="1"/>
    </xf>
    <xf numFmtId="0" fontId="0" fillId="6" borderId="11" xfId="0" applyFill="1" applyBorder="1"/>
    <xf numFmtId="0" fontId="0" fillId="2" borderId="42" xfId="0" applyFill="1" applyBorder="1"/>
    <xf numFmtId="0" fontId="0" fillId="2" borderId="44" xfId="0" applyFill="1" applyBorder="1"/>
    <xf numFmtId="0" fontId="0" fillId="7" borderId="42" xfId="0" applyFill="1" applyBorder="1"/>
    <xf numFmtId="0" fontId="0" fillId="8" borderId="13" xfId="0" applyFill="1" applyBorder="1"/>
    <xf numFmtId="0" fontId="0" fillId="7" borderId="13" xfId="0" applyFill="1" applyBorder="1" applyAlignment="1">
      <alignment horizontal="center" vertical="center" shrinkToFit="1"/>
    </xf>
    <xf numFmtId="0" fontId="0" fillId="7" borderId="44" xfId="0" applyFill="1" applyBorder="1"/>
    <xf numFmtId="0" fontId="0" fillId="8" borderId="11" xfId="0" applyFill="1" applyBorder="1"/>
    <xf numFmtId="0" fontId="0" fillId="7" borderId="11" xfId="0" applyFill="1" applyBorder="1" applyAlignment="1">
      <alignment horizontal="center" vertical="center" shrinkToFit="1"/>
    </xf>
    <xf numFmtId="0" fontId="0" fillId="9" borderId="42" xfId="0" applyFill="1" applyBorder="1"/>
    <xf numFmtId="0" fontId="0" fillId="10" borderId="13" xfId="0" applyFill="1" applyBorder="1"/>
    <xf numFmtId="0" fontId="0" fillId="9" borderId="13" xfId="0" applyFill="1" applyBorder="1" applyAlignment="1">
      <alignment horizontal="center" vertical="center" shrinkToFit="1"/>
    </xf>
    <xf numFmtId="0" fontId="0" fillId="9" borderId="44" xfId="0" applyFill="1" applyBorder="1"/>
    <xf numFmtId="0" fontId="0" fillId="11" borderId="42" xfId="0" applyFill="1" applyBorder="1"/>
    <xf numFmtId="0" fontId="0" fillId="11" borderId="44" xfId="0" applyFill="1" applyBorder="1"/>
    <xf numFmtId="0" fontId="0" fillId="12" borderId="11" xfId="0" applyFill="1" applyBorder="1"/>
    <xf numFmtId="0" fontId="0" fillId="11" borderId="11" xfId="0" applyFill="1" applyBorder="1" applyAlignment="1">
      <alignment horizontal="center" vertical="center" shrinkToFit="1"/>
    </xf>
    <xf numFmtId="0" fontId="0" fillId="13" borderId="42" xfId="0" applyFill="1" applyBorder="1"/>
    <xf numFmtId="0" fontId="0" fillId="13" borderId="13" xfId="0" applyFill="1" applyBorder="1" applyAlignment="1">
      <alignment horizontal="center" vertical="center" shrinkToFit="1"/>
    </xf>
    <xf numFmtId="0" fontId="0" fillId="13" borderId="44" xfId="0" applyFill="1" applyBorder="1"/>
    <xf numFmtId="0" fontId="0" fillId="13" borderId="11" xfId="0" applyFill="1" applyBorder="1" applyAlignment="1">
      <alignment horizontal="center" vertical="center" shrinkToFit="1"/>
    </xf>
    <xf numFmtId="0" fontId="0" fillId="14" borderId="42" xfId="0" applyFill="1" applyBorder="1"/>
    <xf numFmtId="0" fontId="0" fillId="15" borderId="13" xfId="0" applyFill="1" applyBorder="1"/>
    <xf numFmtId="0" fontId="0" fillId="14" borderId="13" xfId="0" applyFill="1" applyBorder="1" applyAlignment="1">
      <alignment horizontal="center" vertical="center" shrinkToFit="1"/>
    </xf>
    <xf numFmtId="0" fontId="0" fillId="14" borderId="44" xfId="0" applyFill="1" applyBorder="1"/>
    <xf numFmtId="0" fontId="0" fillId="15" borderId="11" xfId="0" applyFill="1" applyBorder="1"/>
    <xf numFmtId="0" fontId="0" fillId="14" borderId="11" xfId="0" applyFill="1" applyBorder="1" applyAlignment="1">
      <alignment horizontal="center" vertical="center" shrinkToFit="1"/>
    </xf>
    <xf numFmtId="0" fontId="0" fillId="2" borderId="45" xfId="0" applyFill="1" applyBorder="1"/>
    <xf numFmtId="0" fontId="0" fillId="4" borderId="1" xfId="0" applyFill="1" applyBorder="1"/>
    <xf numFmtId="0" fontId="0" fillId="8" borderId="16" xfId="0" applyFill="1" applyBorder="1"/>
    <xf numFmtId="0" fontId="0" fillId="11" borderId="15" xfId="0" applyFill="1" applyBorder="1" applyAlignment="1">
      <alignment horizontal="center" vertical="center" shrinkToFit="1"/>
    </xf>
    <xf numFmtId="0" fontId="0" fillId="5" borderId="36" xfId="0" applyFill="1" applyBorder="1"/>
    <xf numFmtId="0" fontId="0" fillId="7" borderId="36" xfId="0" applyFill="1" applyBorder="1"/>
    <xf numFmtId="0" fontId="0" fillId="14" borderId="32" xfId="0" applyFill="1" applyBorder="1"/>
    <xf numFmtId="0" fontId="0" fillId="4" borderId="4" xfId="0" applyFill="1" applyBorder="1"/>
    <xf numFmtId="0" fontId="0" fillId="4" borderId="2" xfId="0" applyFill="1" applyBorder="1"/>
    <xf numFmtId="0" fontId="0" fillId="11" borderId="12" xfId="0" applyFill="1" applyBorder="1" applyAlignment="1">
      <alignment horizontal="center" vertical="center" shrinkToFit="1"/>
    </xf>
    <xf numFmtId="0" fontId="0" fillId="11" borderId="3" xfId="0" applyFill="1" applyBorder="1" applyAlignment="1">
      <alignment horizontal="center" vertical="center" shrinkToFit="1"/>
    </xf>
    <xf numFmtId="0" fontId="6" fillId="0" borderId="5" xfId="0" applyFont="1" applyBorder="1" applyAlignment="1">
      <alignment horizontal="center" vertical="center"/>
    </xf>
    <xf numFmtId="0" fontId="0" fillId="0" borderId="21" xfId="0" applyBorder="1"/>
    <xf numFmtId="0" fontId="0" fillId="19" borderId="48" xfId="0" applyFill="1" applyBorder="1"/>
    <xf numFmtId="0" fontId="0" fillId="21" borderId="21" xfId="0" applyFill="1" applyBorder="1"/>
    <xf numFmtId="0" fontId="0" fillId="0" borderId="21" xfId="0" applyBorder="1" applyAlignment="1">
      <alignment wrapText="1"/>
    </xf>
    <xf numFmtId="0" fontId="0" fillId="21" borderId="21" xfId="0" applyFill="1" applyBorder="1" applyAlignment="1">
      <alignment wrapText="1"/>
    </xf>
    <xf numFmtId="0" fontId="0" fillId="21" borderId="21" xfId="0" quotePrefix="1" applyFill="1" applyBorder="1"/>
    <xf numFmtId="0" fontId="0" fillId="0" borderId="21" xfId="0" quotePrefix="1" applyBorder="1" applyAlignment="1">
      <alignment wrapText="1"/>
    </xf>
    <xf numFmtId="0" fontId="0" fillId="0" borderId="21" xfId="0" applyBorder="1" applyAlignment="1">
      <alignment horizontal="center" vertical="center"/>
    </xf>
    <xf numFmtId="0" fontId="0" fillId="20" borderId="21" xfId="0" applyFill="1" applyBorder="1" applyAlignment="1">
      <alignment horizontal="center" vertical="center"/>
    </xf>
    <xf numFmtId="0" fontId="0" fillId="21" borderId="21" xfId="0" applyFill="1" applyBorder="1" applyAlignment="1">
      <alignment horizontal="center" vertical="center"/>
    </xf>
    <xf numFmtId="0" fontId="0" fillId="21" borderId="21" xfId="0" quotePrefix="1" applyFill="1" applyBorder="1" applyAlignment="1">
      <alignment wrapText="1"/>
    </xf>
    <xf numFmtId="0" fontId="6" fillId="0" borderId="5" xfId="0" applyFont="1" applyBorder="1" applyAlignment="1">
      <alignment horizontal="center" vertical="center" wrapText="1"/>
    </xf>
    <xf numFmtId="0" fontId="0" fillId="20" borderId="21" xfId="0" applyFill="1" applyBorder="1" applyAlignment="1">
      <alignment horizontal="center" vertical="center"/>
    </xf>
    <xf numFmtId="0" fontId="0" fillId="21" borderId="21" xfId="0" applyFill="1" applyBorder="1" applyAlignment="1">
      <alignment horizontal="center" vertical="center"/>
    </xf>
    <xf numFmtId="0" fontId="0" fillId="0" borderId="21" xfId="0" applyBorder="1" applyAlignment="1">
      <alignment horizontal="center" vertical="center"/>
    </xf>
    <xf numFmtId="0" fontId="0" fillId="22" borderId="21" xfId="0" applyFill="1" applyBorder="1" applyAlignment="1">
      <alignment horizontal="center" vertical="center"/>
    </xf>
    <xf numFmtId="0" fontId="0" fillId="14" borderId="23" xfId="0" applyFill="1" applyBorder="1" applyAlignment="1">
      <alignment horizontal="center" vertical="center" shrinkToFit="1"/>
    </xf>
    <xf numFmtId="0" fontId="0" fillId="14" borderId="18" xfId="0" applyFill="1" applyBorder="1" applyAlignment="1">
      <alignment horizontal="center" vertical="center" shrinkToFit="1"/>
    </xf>
    <xf numFmtId="0" fontId="0" fillId="14" borderId="1" xfId="0" applyFill="1" applyBorder="1" applyAlignment="1">
      <alignment horizontal="center" vertical="center" shrinkToFit="1"/>
    </xf>
    <xf numFmtId="0" fontId="0" fillId="14" borderId="21" xfId="0" applyFill="1" applyBorder="1" applyAlignment="1">
      <alignment horizontal="center" vertical="center" shrinkToFit="1"/>
    </xf>
    <xf numFmtId="0" fontId="0" fillId="14" borderId="46" xfId="0" applyFill="1" applyBorder="1" applyAlignment="1">
      <alignment horizontal="center" vertical="center" shrinkToFit="1"/>
    </xf>
    <xf numFmtId="0" fontId="0" fillId="11" borderId="18" xfId="0" applyFill="1" applyBorder="1" applyAlignment="1">
      <alignment horizontal="center" vertical="center" shrinkToFit="1"/>
    </xf>
    <xf numFmtId="0" fontId="0" fillId="11" borderId="1" xfId="0" applyFill="1" applyBorder="1" applyAlignment="1">
      <alignment horizontal="center" vertical="center" shrinkToFit="1"/>
    </xf>
    <xf numFmtId="0" fontId="0" fillId="11" borderId="23" xfId="0" applyFill="1" applyBorder="1" applyAlignment="1">
      <alignment horizontal="center" vertical="center" shrinkToFit="1"/>
    </xf>
    <xf numFmtId="0" fontId="0" fillId="11" borderId="21" xfId="0" applyFill="1" applyBorder="1" applyAlignment="1">
      <alignment horizontal="center" vertical="center" shrinkToFit="1"/>
    </xf>
    <xf numFmtId="0" fontId="0" fillId="11" borderId="46" xfId="0" applyFill="1" applyBorder="1" applyAlignment="1">
      <alignment horizontal="center" vertical="center" shrinkToFit="1"/>
    </xf>
    <xf numFmtId="0" fontId="0" fillId="7" borderId="18" xfId="0" applyFill="1" applyBorder="1" applyAlignment="1">
      <alignment horizontal="center" vertical="center" shrinkToFit="1"/>
    </xf>
    <xf numFmtId="0" fontId="0" fillId="7" borderId="21" xfId="0" applyFill="1" applyBorder="1" applyAlignment="1">
      <alignment horizontal="center" vertical="center" shrinkToFit="1"/>
    </xf>
    <xf numFmtId="0" fontId="0" fillId="7" borderId="46" xfId="0" applyFill="1" applyBorder="1" applyAlignment="1">
      <alignment horizontal="center" vertical="center" shrinkToFit="1"/>
    </xf>
    <xf numFmtId="0" fontId="0" fillId="14" borderId="22" xfId="0" applyFill="1" applyBorder="1" applyAlignment="1">
      <alignment horizontal="center" vertical="center" shrinkToFit="1"/>
    </xf>
    <xf numFmtId="0" fontId="0" fillId="14" borderId="20" xfId="0" applyFill="1" applyBorder="1" applyAlignment="1">
      <alignment horizontal="center" vertical="center" shrinkToFit="1"/>
    </xf>
    <xf numFmtId="0" fontId="0" fillId="14" borderId="25" xfId="0" applyFill="1" applyBorder="1" applyAlignment="1">
      <alignment horizontal="center" vertical="center" shrinkToFit="1"/>
    </xf>
    <xf numFmtId="0" fontId="0" fillId="7" borderId="1" xfId="0" applyFill="1" applyBorder="1" applyAlignment="1">
      <alignment horizontal="center" vertical="center" shrinkToFit="1"/>
    </xf>
    <xf numFmtId="0" fontId="0" fillId="9" borderId="18" xfId="0" applyFill="1" applyBorder="1" applyAlignment="1">
      <alignment horizontal="center" vertical="center" shrinkToFit="1"/>
    </xf>
    <xf numFmtId="0" fontId="0" fillId="9" borderId="1" xfId="0" applyFill="1" applyBorder="1" applyAlignment="1">
      <alignment horizontal="center" vertical="center" shrinkToFit="1"/>
    </xf>
    <xf numFmtId="0" fontId="0" fillId="9" borderId="21" xfId="0" applyFill="1" applyBorder="1" applyAlignment="1">
      <alignment horizontal="center" vertical="center" shrinkToFit="1"/>
    </xf>
    <xf numFmtId="0" fontId="0" fillId="9" borderId="46" xfId="0" applyFill="1" applyBorder="1" applyAlignment="1">
      <alignment horizontal="center" vertical="center" shrinkToFit="1"/>
    </xf>
    <xf numFmtId="0" fontId="0" fillId="17" borderId="0" xfId="0" applyFill="1" applyAlignment="1">
      <alignment horizontal="center"/>
    </xf>
    <xf numFmtId="0" fontId="0" fillId="16" borderId="0" xfId="0" applyFill="1" applyAlignment="1">
      <alignment horizontal="center"/>
    </xf>
    <xf numFmtId="0" fontId="0" fillId="18" borderId="0" xfId="0" applyFill="1" applyAlignment="1">
      <alignment horizontal="center"/>
    </xf>
    <xf numFmtId="0" fontId="0" fillId="13" borderId="0" xfId="0" applyFill="1" applyAlignment="1">
      <alignment horizontal="center"/>
    </xf>
    <xf numFmtId="0" fontId="0" fillId="3" borderId="0" xfId="0" applyFill="1" applyAlignment="1">
      <alignment horizontal="center"/>
    </xf>
    <xf numFmtId="0" fontId="0" fillId="9" borderId="0" xfId="0" applyFill="1" applyAlignment="1">
      <alignment horizontal="center"/>
    </xf>
    <xf numFmtId="0" fontId="0" fillId="14" borderId="0" xfId="0" applyFill="1" applyAlignment="1">
      <alignment horizontal="center"/>
    </xf>
    <xf numFmtId="0" fontId="0" fillId="5" borderId="0" xfId="0" applyFill="1" applyAlignment="1">
      <alignment horizontal="center"/>
    </xf>
    <xf numFmtId="0" fontId="0" fillId="7" borderId="0" xfId="0" applyFill="1" applyAlignment="1">
      <alignment horizontal="center"/>
    </xf>
    <xf numFmtId="0" fontId="0" fillId="11" borderId="0" xfId="0" applyFill="1" applyAlignment="1">
      <alignment horizontal="center"/>
    </xf>
    <xf numFmtId="0" fontId="0" fillId="3" borderId="18" xfId="0" applyFill="1" applyBorder="1" applyAlignment="1">
      <alignment horizontal="center" vertical="center" shrinkToFit="1"/>
    </xf>
    <xf numFmtId="0" fontId="0" fillId="3" borderId="21" xfId="0" applyFill="1" applyBorder="1" applyAlignment="1">
      <alignment horizontal="center" vertical="center" shrinkToFit="1"/>
    </xf>
    <xf numFmtId="0" fontId="0" fillId="3" borderId="46" xfId="0" applyFill="1" applyBorder="1" applyAlignment="1">
      <alignment horizontal="center" vertical="center" shrinkToFit="1"/>
    </xf>
    <xf numFmtId="0" fontId="0" fillId="5" borderId="19" xfId="0" applyFill="1" applyBorder="1" applyAlignment="1">
      <alignment horizontal="center" vertical="center" shrinkToFit="1"/>
    </xf>
    <xf numFmtId="0" fontId="0" fillId="5" borderId="2" xfId="0" applyFill="1" applyBorder="1" applyAlignment="1">
      <alignment horizontal="center" vertical="center" shrinkToFit="1"/>
    </xf>
    <xf numFmtId="0" fontId="0" fillId="5" borderId="18" xfId="0" applyFill="1" applyBorder="1" applyAlignment="1">
      <alignment horizontal="center" vertical="center" shrinkToFit="1"/>
    </xf>
    <xf numFmtId="0" fontId="0" fillId="5" borderId="1" xfId="0" applyFill="1" applyBorder="1" applyAlignment="1">
      <alignment horizontal="center" vertical="center" shrinkToFit="1"/>
    </xf>
    <xf numFmtId="0" fontId="0" fillId="5" borderId="21" xfId="0" applyFill="1" applyBorder="1" applyAlignment="1">
      <alignment horizontal="center" vertical="center" shrinkToFit="1"/>
    </xf>
    <xf numFmtId="0" fontId="0" fillId="5" borderId="46" xfId="0" applyFill="1" applyBorder="1" applyAlignment="1">
      <alignment horizontal="center" vertical="center" shrinkToFit="1"/>
    </xf>
    <xf numFmtId="0" fontId="5" fillId="0" borderId="31" xfId="0" applyFont="1" applyBorder="1" applyAlignment="1">
      <alignment horizontal="center" vertical="center" textRotation="90"/>
    </xf>
    <xf numFmtId="0" fontId="5" fillId="0" borderId="33" xfId="0" applyFont="1" applyBorder="1" applyAlignment="1">
      <alignment horizontal="center" vertical="center" textRotation="90"/>
    </xf>
    <xf numFmtId="0" fontId="5" fillId="0" borderId="37" xfId="0" applyFont="1" applyBorder="1" applyAlignment="1">
      <alignment horizontal="center" vertical="center" textRotation="90"/>
    </xf>
    <xf numFmtId="0" fontId="6" fillId="0" borderId="5" xfId="0" applyFont="1" applyBorder="1" applyAlignment="1">
      <alignment horizontal="center" vertical="center"/>
    </xf>
    <xf numFmtId="0" fontId="0" fillId="13" borderId="23" xfId="0" applyFill="1" applyBorder="1" applyAlignment="1">
      <alignment horizontal="center" vertical="center" shrinkToFit="1"/>
    </xf>
    <xf numFmtId="0" fontId="0" fillId="13" borderId="18" xfId="0" applyFill="1" applyBorder="1" applyAlignment="1">
      <alignment horizontal="center" vertical="center" shrinkToFit="1"/>
    </xf>
    <xf numFmtId="0" fontId="0" fillId="7" borderId="19" xfId="0" applyFill="1" applyBorder="1" applyAlignment="1">
      <alignment horizontal="center" vertical="center" shrinkToFit="1"/>
    </xf>
    <xf numFmtId="0" fontId="0" fillId="7" borderId="2" xfId="0" applyFill="1" applyBorder="1" applyAlignment="1">
      <alignment horizontal="center" vertical="center" shrinkToFit="1"/>
    </xf>
    <xf numFmtId="0" fontId="5" fillId="0" borderId="35" xfId="0" applyFont="1" applyBorder="1" applyAlignment="1">
      <alignment horizontal="center" vertical="center" textRotation="90"/>
    </xf>
    <xf numFmtId="0" fontId="0" fillId="5" borderId="24" xfId="0" applyFill="1" applyBorder="1" applyAlignment="1">
      <alignment horizontal="center" vertical="center" shrinkToFit="1"/>
    </xf>
    <xf numFmtId="0" fontId="0" fillId="5" borderId="23" xfId="0" applyFill="1" applyBorder="1" applyAlignment="1">
      <alignment horizontal="center" vertical="center" shrinkToFit="1"/>
    </xf>
    <xf numFmtId="0" fontId="0" fillId="3" borderId="23"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22" xfId="0" applyFill="1" applyBorder="1" applyAlignment="1">
      <alignment horizontal="center" vertical="center" shrinkToFit="1"/>
    </xf>
    <xf numFmtId="0" fontId="0" fillId="3" borderId="20" xfId="0" applyFill="1" applyBorder="1" applyAlignment="1">
      <alignment horizontal="center" vertical="center" shrinkToFit="1"/>
    </xf>
    <xf numFmtId="0" fontId="0" fillId="3" borderId="25" xfId="0" applyFill="1" applyBorder="1" applyAlignment="1">
      <alignment horizontal="center" vertical="center" shrinkToFit="1"/>
    </xf>
    <xf numFmtId="0" fontId="0" fillId="3" borderId="47" xfId="0" applyFill="1" applyBorder="1" applyAlignment="1">
      <alignment horizontal="center" vertical="center" shrinkToFit="1"/>
    </xf>
    <xf numFmtId="0" fontId="0" fillId="2" borderId="26" xfId="0" applyFill="1" applyBorder="1" applyAlignment="1">
      <alignment horizontal="center" vertical="center"/>
    </xf>
    <xf numFmtId="0" fontId="0" fillId="2" borderId="28" xfId="0" applyFill="1" applyBorder="1" applyAlignment="1">
      <alignment horizontal="center" vertical="center"/>
    </xf>
    <xf numFmtId="0" fontId="0" fillId="2" borderId="27" xfId="0" applyFill="1" applyBorder="1" applyAlignment="1">
      <alignment horizontal="center" vertical="center"/>
    </xf>
    <xf numFmtId="0" fontId="0" fillId="2" borderId="29" xfId="0" applyFill="1" applyBorder="1" applyAlignment="1">
      <alignment horizontal="center" vertical="center"/>
    </xf>
    <xf numFmtId="0" fontId="0" fillId="2" borderId="43" xfId="0" applyFill="1" applyBorder="1" applyAlignment="1">
      <alignment horizontal="center" vertical="center"/>
    </xf>
    <xf numFmtId="0" fontId="0" fillId="2" borderId="40" xfId="0" applyFill="1" applyBorder="1" applyAlignment="1">
      <alignment horizontal="center" vertical="center"/>
    </xf>
    <xf numFmtId="0" fontId="0" fillId="11" borderId="26" xfId="0" applyFill="1" applyBorder="1" applyAlignment="1">
      <alignment horizontal="center" vertical="center"/>
    </xf>
    <xf numFmtId="0" fontId="0" fillId="11" borderId="43" xfId="0" applyFill="1" applyBorder="1" applyAlignment="1">
      <alignment horizontal="center" vertical="center"/>
    </xf>
    <xf numFmtId="0" fontId="0" fillId="11" borderId="27" xfId="0" applyFill="1" applyBorder="1" applyAlignment="1">
      <alignment horizontal="center" vertical="center"/>
    </xf>
    <xf numFmtId="0" fontId="0" fillId="11" borderId="40" xfId="0" applyFill="1" applyBorder="1" applyAlignment="1">
      <alignment horizontal="center" vertical="center"/>
    </xf>
    <xf numFmtId="0" fontId="0" fillId="14" borderId="26" xfId="0" applyFill="1" applyBorder="1" applyAlignment="1">
      <alignment horizontal="center" vertical="center"/>
    </xf>
    <xf numFmtId="0" fontId="0" fillId="14" borderId="43" xfId="0" applyFill="1" applyBorder="1" applyAlignment="1">
      <alignment horizontal="center" vertical="center"/>
    </xf>
    <xf numFmtId="0" fontId="0" fillId="14" borderId="27" xfId="0" applyFill="1" applyBorder="1" applyAlignment="1">
      <alignment horizontal="center" vertical="center"/>
    </xf>
    <xf numFmtId="0" fontId="0" fillId="14" borderId="40" xfId="0" applyFill="1" applyBorder="1" applyAlignment="1">
      <alignment horizontal="center" vertical="center"/>
    </xf>
    <xf numFmtId="0" fontId="0" fillId="13" borderId="26" xfId="0" applyFill="1" applyBorder="1" applyAlignment="1">
      <alignment horizontal="center" vertical="center"/>
    </xf>
    <xf numFmtId="0" fontId="0" fillId="13" borderId="43" xfId="0" applyFill="1" applyBorder="1" applyAlignment="1">
      <alignment horizontal="center" vertical="center"/>
    </xf>
    <xf numFmtId="0" fontId="0" fillId="13" borderId="27" xfId="0" applyFill="1" applyBorder="1" applyAlignment="1">
      <alignment horizontal="center" vertical="center"/>
    </xf>
    <xf numFmtId="0" fontId="0" fillId="13" borderId="40" xfId="0" applyFill="1" applyBorder="1" applyAlignment="1">
      <alignment horizontal="center" vertical="center"/>
    </xf>
    <xf numFmtId="0" fontId="0" fillId="7" borderId="26" xfId="0" applyFill="1" applyBorder="1" applyAlignment="1">
      <alignment horizontal="center" vertical="center"/>
    </xf>
    <xf numFmtId="0" fontId="0" fillId="7" borderId="43" xfId="0" applyFill="1" applyBorder="1" applyAlignment="1">
      <alignment horizontal="center" vertical="center"/>
    </xf>
    <xf numFmtId="0" fontId="0" fillId="7" borderId="27" xfId="0" applyFill="1" applyBorder="1" applyAlignment="1">
      <alignment horizontal="center" vertical="center"/>
    </xf>
    <xf numFmtId="0" fontId="0" fillId="7" borderId="40" xfId="0" applyFill="1" applyBorder="1" applyAlignment="1">
      <alignment horizontal="center" vertical="center"/>
    </xf>
    <xf numFmtId="0" fontId="0" fillId="9" borderId="26" xfId="0" applyFill="1" applyBorder="1" applyAlignment="1">
      <alignment horizontal="center" vertical="center"/>
    </xf>
    <xf numFmtId="0" fontId="0" fillId="9" borderId="43"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5" borderId="26" xfId="0" applyFill="1" applyBorder="1" applyAlignment="1">
      <alignment horizontal="center" vertical="center"/>
    </xf>
    <xf numFmtId="0" fontId="0" fillId="5" borderId="43" xfId="0" applyFill="1" applyBorder="1" applyAlignment="1">
      <alignment horizontal="center" vertical="center"/>
    </xf>
    <xf numFmtId="0" fontId="0" fillId="5" borderId="27" xfId="0" applyFill="1" applyBorder="1" applyAlignment="1">
      <alignment horizontal="center" vertical="center"/>
    </xf>
    <xf numFmtId="0" fontId="0" fillId="5" borderId="40" xfId="0" applyFill="1" applyBorder="1" applyAlignment="1">
      <alignment horizontal="center" vertical="center"/>
    </xf>
    <xf numFmtId="0" fontId="0" fillId="3" borderId="26" xfId="0" applyFill="1" applyBorder="1" applyAlignment="1">
      <alignment horizontal="center" vertical="center"/>
    </xf>
    <xf numFmtId="0" fontId="0" fillId="3" borderId="43" xfId="0" applyFill="1" applyBorder="1" applyAlignment="1">
      <alignment horizontal="center" vertical="center"/>
    </xf>
    <xf numFmtId="0" fontId="0" fillId="3" borderId="27" xfId="0" applyFill="1" applyBorder="1" applyAlignment="1">
      <alignment horizontal="center" vertical="center"/>
    </xf>
    <xf numFmtId="0" fontId="0" fillId="3" borderId="40" xfId="0" applyFill="1" applyBorder="1" applyAlignment="1">
      <alignment horizontal="center" vertical="center"/>
    </xf>
    <xf numFmtId="0" fontId="0" fillId="11" borderId="13" xfId="0" applyFill="1" applyBorder="1" applyAlignment="1">
      <alignment horizontal="center" vertical="center" shrinkToFit="1"/>
    </xf>
    <xf numFmtId="0" fontId="0" fillId="11" borderId="4" xfId="0" applyFill="1" applyBorder="1" applyAlignment="1">
      <alignment horizontal="center" vertical="center" shrinkToFit="1"/>
    </xf>
    <xf numFmtId="0" fontId="0" fillId="14" borderId="3" xfId="0" applyFill="1" applyBorder="1" applyAlignment="1">
      <alignment horizontal="center" vertical="center" shrinkToFit="1"/>
    </xf>
    <xf numFmtId="0" fontId="0" fillId="14" borderId="13" xfId="0" applyFill="1" applyBorder="1" applyAlignment="1">
      <alignment horizontal="center" vertical="center" shrinkToFit="1"/>
    </xf>
    <xf numFmtId="0" fontId="0" fillId="14" borderId="4" xfId="0" applyFill="1" applyBorder="1" applyAlignment="1">
      <alignment horizontal="center" vertical="center" shrinkToFit="1"/>
    </xf>
    <xf numFmtId="0" fontId="0" fillId="11" borderId="3" xfId="0" applyFill="1" applyBorder="1" applyAlignment="1">
      <alignment horizontal="center" vertical="center" shrinkToFit="1"/>
    </xf>
    <xf numFmtId="0" fontId="0" fillId="13" borderId="3" xfId="0" applyFill="1" applyBorder="1" applyAlignment="1">
      <alignment horizontal="center" vertical="center" shrinkToFit="1"/>
    </xf>
    <xf numFmtId="0" fontId="0" fillId="13" borderId="13" xfId="0" applyFill="1" applyBorder="1" applyAlignment="1">
      <alignment horizontal="center" vertical="center" shrinkToFit="1"/>
    </xf>
    <xf numFmtId="0" fontId="0" fillId="7" borderId="13" xfId="0" applyFill="1" applyBorder="1" applyAlignment="1">
      <alignment horizontal="center" vertical="center" shrinkToFit="1"/>
    </xf>
    <xf numFmtId="0" fontId="0" fillId="7" borderId="4" xfId="0" applyFill="1" applyBorder="1" applyAlignment="1">
      <alignment horizontal="center" vertical="center" shrinkToFit="1"/>
    </xf>
    <xf numFmtId="0" fontId="0" fillId="9" borderId="13" xfId="0" applyFill="1" applyBorder="1" applyAlignment="1">
      <alignment horizontal="center" vertical="center" shrinkToFit="1"/>
    </xf>
    <xf numFmtId="0" fontId="0" fillId="9" borderId="4"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13" xfId="0" applyFill="1" applyBorder="1" applyAlignment="1">
      <alignment horizontal="center" vertical="center" shrinkToFit="1"/>
    </xf>
    <xf numFmtId="0" fontId="0" fillId="5" borderId="4" xfId="0" applyFill="1" applyBorder="1" applyAlignment="1">
      <alignment horizontal="center" vertical="center" shrinkToFit="1"/>
    </xf>
    <xf numFmtId="0" fontId="0" fillId="3" borderId="3" xfId="0" applyFill="1" applyBorder="1" applyAlignment="1">
      <alignment horizontal="center" vertical="center" shrinkToFit="1"/>
    </xf>
    <xf numFmtId="0" fontId="0" fillId="3" borderId="13" xfId="0" applyFill="1" applyBorder="1" applyAlignment="1">
      <alignment horizontal="center" vertical="center" shrinkToFit="1"/>
    </xf>
    <xf numFmtId="0" fontId="0" fillId="3" borderId="4" xfId="0" applyFill="1" applyBorder="1" applyAlignment="1">
      <alignment horizontal="center" vertical="center" shrinkToFit="1"/>
    </xf>
    <xf numFmtId="0" fontId="6" fillId="0" borderId="17" xfId="0" applyFont="1" applyBorder="1" applyAlignment="1">
      <alignment horizontal="center" vertical="center"/>
    </xf>
  </cellXfs>
  <cellStyles count="2">
    <cellStyle name="Normal" xfId="0" builtinId="0"/>
    <cellStyle name="Normal 2" xfId="1" xr:uid="{209C4ACC-69E1-43C2-A7DE-EB9D9504404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0</xdr:row>
          <xdr:rowOff>177800</xdr:rowOff>
        </xdr:from>
        <xdr:to>
          <xdr:col>1</xdr:col>
          <xdr:colOff>1816100</xdr:colOff>
          <xdr:row>2</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 Summary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4</xdr:row>
          <xdr:rowOff>6350</xdr:rowOff>
        </xdr:from>
        <xdr:to>
          <xdr:col>2</xdr:col>
          <xdr:colOff>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Read IDS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6</xdr:row>
          <xdr:rowOff>165100</xdr:rowOff>
        </xdr:from>
        <xdr:to>
          <xdr:col>1</xdr:col>
          <xdr:colOff>1797050</xdr:colOff>
          <xdr:row>8</xdr:row>
          <xdr:rowOff>177800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Contents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8"/>
  <sheetViews>
    <sheetView workbookViewId="0">
      <selection activeCell="B10" sqref="B10"/>
    </sheetView>
  </sheetViews>
  <sheetFormatPr defaultRowHeight="14.5" x14ac:dyDescent="0.35"/>
  <cols>
    <col min="1" max="1" width="12.36328125" bestFit="1" customWidth="1"/>
    <col min="2" max="2" width="26.54296875" customWidth="1"/>
  </cols>
  <sheetData>
    <row r="1" spans="1:4" x14ac:dyDescent="0.35">
      <c r="A1" s="1"/>
      <c r="B1" s="2"/>
    </row>
    <row r="3" spans="1:4" ht="15" customHeight="1" x14ac:dyDescent="0.35"/>
    <row r="6" spans="1:4" x14ac:dyDescent="0.35">
      <c r="C6" s="3"/>
      <c r="D6" s="3"/>
    </row>
    <row r="7" spans="1:4" x14ac:dyDescent="0.35">
      <c r="C7" s="3"/>
      <c r="D7" s="3"/>
    </row>
    <row r="8" spans="1:4" x14ac:dyDescent="0.35">
      <c r="D8"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GenerateSummary">
                <anchor moveWithCells="1" sizeWithCells="1">
                  <from>
                    <xdr:col>1</xdr:col>
                    <xdr:colOff>6350</xdr:colOff>
                    <xdr:row>0</xdr:row>
                    <xdr:rowOff>177800</xdr:rowOff>
                  </from>
                  <to>
                    <xdr:col>1</xdr:col>
                    <xdr:colOff>1816100</xdr:colOff>
                    <xdr:row>2</xdr:row>
                    <xdr:rowOff>165100</xdr:rowOff>
                  </to>
                </anchor>
              </controlPr>
            </control>
          </mc:Choice>
        </mc:AlternateContent>
        <mc:AlternateContent xmlns:mc="http://schemas.openxmlformats.org/markup-compatibility/2006">
          <mc:Choice Requires="x14">
            <control shapeId="1026" r:id="rId5" name="Button 2">
              <controlPr defaultSize="0" print="0" autoFill="0" autoPict="0" macro="[0]!ThisWorkbook.ReadIdsFile">
                <anchor moveWithCells="1" sizeWithCells="1">
                  <from>
                    <xdr:col>1</xdr:col>
                    <xdr:colOff>6350</xdr:colOff>
                    <xdr:row>4</xdr:row>
                    <xdr:rowOff>6350</xdr:rowOff>
                  </from>
                  <to>
                    <xdr:col>2</xdr:col>
                    <xdr:colOff>0</xdr:colOff>
                    <xdr:row>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ThisWorkbook.Clear_Pages">
                <anchor moveWithCells="1" sizeWithCells="1">
                  <from>
                    <xdr:col>0</xdr:col>
                    <xdr:colOff>838200</xdr:colOff>
                    <xdr:row>6</xdr:row>
                    <xdr:rowOff>165100</xdr:rowOff>
                  </from>
                  <to>
                    <xdr:col>1</xdr:col>
                    <xdr:colOff>1797050</xdr:colOff>
                    <xdr:row>8</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1A285-20AE-4602-858E-CBD7ED3708B3}">
  <sheetPr codeName="Sheet6"/>
  <dimension ref="A1:N427"/>
  <sheetViews>
    <sheetView topLeftCell="A64" workbookViewId="0">
      <selection activeCell="I13" sqref="I13"/>
    </sheetView>
  </sheetViews>
  <sheetFormatPr defaultRowHeight="14.5" x14ac:dyDescent="0.35"/>
  <cols>
    <col min="1" max="1" width="12.1796875" bestFit="1" customWidth="1"/>
    <col min="2" max="2" width="11.1796875" bestFit="1" customWidth="1"/>
    <col min="3" max="3" width="5.54296875" bestFit="1" customWidth="1"/>
    <col min="4" max="4" width="23.81640625" bestFit="1" customWidth="1"/>
    <col min="5" max="5" width="87.6328125" bestFit="1" customWidth="1"/>
    <col min="6" max="6" width="7" bestFit="1" customWidth="1"/>
    <col min="7" max="7" width="4.54296875" bestFit="1" customWidth="1"/>
    <col min="8" max="8" width="5.08984375" bestFit="1" customWidth="1"/>
    <col min="9" max="9" width="4.08984375" bestFit="1" customWidth="1"/>
    <col min="10" max="10" width="8.453125" bestFit="1" customWidth="1"/>
    <col min="11" max="11" width="7.6328125" bestFit="1" customWidth="1"/>
    <col min="13" max="13" width="5.54296875" bestFit="1" customWidth="1"/>
    <col min="14" max="14" width="12.81640625" bestFit="1" customWidth="1"/>
  </cols>
  <sheetData>
    <row r="1" spans="1:14" ht="15" thickBot="1" x14ac:dyDescent="0.4"/>
    <row r="2" spans="1:14" ht="63" thickTop="1" thickBot="1" x14ac:dyDescent="0.4">
      <c r="A2" s="142"/>
      <c r="B2" s="142" t="s">
        <v>245</v>
      </c>
      <c r="C2" s="142" t="s">
        <v>1033</v>
      </c>
      <c r="D2" s="142" t="s">
        <v>1034</v>
      </c>
      <c r="E2" s="142" t="s">
        <v>1035</v>
      </c>
      <c r="F2" s="142" t="s">
        <v>1036</v>
      </c>
      <c r="G2" s="142" t="s">
        <v>1037</v>
      </c>
      <c r="H2" s="142" t="s">
        <v>1038</v>
      </c>
      <c r="I2" s="142" t="s">
        <v>1039</v>
      </c>
      <c r="J2" s="154" t="s">
        <v>1040</v>
      </c>
      <c r="K2" s="142" t="s">
        <v>1041</v>
      </c>
      <c r="L2" s="142"/>
      <c r="M2" s="142" t="s">
        <v>1033</v>
      </c>
      <c r="N2" s="142" t="s">
        <v>1042</v>
      </c>
    </row>
    <row r="3" spans="1:14" ht="15.5" thickTop="1" thickBot="1" x14ac:dyDescent="0.4">
      <c r="A3" s="158" t="s">
        <v>714</v>
      </c>
      <c r="B3" s="155" t="s">
        <v>256</v>
      </c>
      <c r="C3" s="157" t="s">
        <v>539</v>
      </c>
      <c r="D3" s="143" t="s">
        <v>3</v>
      </c>
      <c r="E3" s="143" t="s">
        <v>533</v>
      </c>
      <c r="F3" s="143" t="s">
        <v>534</v>
      </c>
      <c r="G3" s="143">
        <v>6</v>
      </c>
      <c r="H3" s="143" t="str">
        <f>"31"</f>
        <v>31</v>
      </c>
      <c r="I3" s="143" t="str">
        <f>"26"</f>
        <v>26</v>
      </c>
      <c r="J3" s="144">
        <v>0</v>
      </c>
      <c r="K3" s="143">
        <f t="shared" ref="K3:K66" si="0">J3 * POWER( 2, I3)</f>
        <v>0</v>
      </c>
      <c r="M3" t="s">
        <v>539</v>
      </c>
      <c r="N3" t="e">
        <f ca="1">DecToBin(SUM(K3:K7),32)</f>
        <v>#NAME?</v>
      </c>
    </row>
    <row r="4" spans="1:14" ht="15" thickBot="1" x14ac:dyDescent="0.4">
      <c r="A4" s="158"/>
      <c r="B4" s="155"/>
      <c r="C4" s="157"/>
      <c r="D4" s="143" t="s">
        <v>257</v>
      </c>
      <c r="E4" s="143" t="s">
        <v>535</v>
      </c>
      <c r="F4" s="143" t="s">
        <v>534</v>
      </c>
      <c r="G4" s="143">
        <v>4</v>
      </c>
      <c r="H4" s="143" t="str">
        <f>"25"</f>
        <v>25</v>
      </c>
      <c r="I4" s="143" t="str">
        <f>"22"</f>
        <v>22</v>
      </c>
      <c r="J4" s="144">
        <v>0</v>
      </c>
      <c r="K4" s="143">
        <f t="shared" si="0"/>
        <v>0</v>
      </c>
      <c r="M4" t="s">
        <v>543</v>
      </c>
      <c r="N4" t="e">
        <f ca="1">DecToBin(SUM(K8:K11),32)</f>
        <v>#NAME?</v>
      </c>
    </row>
    <row r="5" spans="1:14" ht="15" thickBot="1" x14ac:dyDescent="0.4">
      <c r="A5" s="158"/>
      <c r="B5" s="155"/>
      <c r="C5" s="157"/>
      <c r="D5" s="143" t="s">
        <v>5</v>
      </c>
      <c r="E5" s="143" t="s">
        <v>536</v>
      </c>
      <c r="F5" s="143" t="s">
        <v>534</v>
      </c>
      <c r="G5" s="143">
        <v>8</v>
      </c>
      <c r="H5" s="143" t="str">
        <f>"21"</f>
        <v>21</v>
      </c>
      <c r="I5" s="143" t="str">
        <f>"14"</f>
        <v>14</v>
      </c>
      <c r="J5" s="144">
        <v>0</v>
      </c>
      <c r="K5" s="143">
        <f t="shared" si="0"/>
        <v>0</v>
      </c>
      <c r="M5" t="s">
        <v>547</v>
      </c>
      <c r="N5" t="e">
        <f ca="1">DecToBin(SUM(K12:K15),32)</f>
        <v>#NAME?</v>
      </c>
    </row>
    <row r="6" spans="1:14" ht="15" thickBot="1" x14ac:dyDescent="0.4">
      <c r="A6" s="158"/>
      <c r="B6" s="155"/>
      <c r="C6" s="157"/>
      <c r="D6" s="143" t="s">
        <v>4</v>
      </c>
      <c r="E6" s="143" t="s">
        <v>537</v>
      </c>
      <c r="F6" s="143" t="s">
        <v>534</v>
      </c>
      <c r="G6" s="143">
        <v>8</v>
      </c>
      <c r="H6" s="143" t="str">
        <f>"13"</f>
        <v>13</v>
      </c>
      <c r="I6" s="143" t="str">
        <f>"6"</f>
        <v>6</v>
      </c>
      <c r="J6" s="144">
        <v>0</v>
      </c>
      <c r="K6" s="143">
        <f t="shared" si="0"/>
        <v>0</v>
      </c>
      <c r="M6" t="s">
        <v>550</v>
      </c>
      <c r="N6" t="e">
        <f ca="1">DecToBin(SUM(K16:K17),32)</f>
        <v>#NAME?</v>
      </c>
    </row>
    <row r="7" spans="1:14" ht="15" thickBot="1" x14ac:dyDescent="0.4">
      <c r="A7" s="158"/>
      <c r="B7" s="155"/>
      <c r="C7" s="157"/>
      <c r="D7" s="143" t="s">
        <v>258</v>
      </c>
      <c r="E7" s="143" t="s">
        <v>538</v>
      </c>
      <c r="F7" s="143" t="s">
        <v>534</v>
      </c>
      <c r="G7" s="143">
        <v>6</v>
      </c>
      <c r="H7" s="143" t="str">
        <f>"5"</f>
        <v>5</v>
      </c>
      <c r="I7" s="143" t="str">
        <f>"0"</f>
        <v>0</v>
      </c>
      <c r="J7" s="144">
        <v>0</v>
      </c>
      <c r="K7" s="143">
        <f t="shared" si="0"/>
        <v>0</v>
      </c>
      <c r="M7" t="s">
        <v>561</v>
      </c>
      <c r="N7" t="e">
        <f ca="1">DecToBin(SUM(K18:K27),32)</f>
        <v>#NAME?</v>
      </c>
    </row>
    <row r="8" spans="1:14" ht="15" thickBot="1" x14ac:dyDescent="0.4">
      <c r="A8" s="158"/>
      <c r="B8" s="155" t="s">
        <v>259</v>
      </c>
      <c r="C8" s="156" t="s">
        <v>543</v>
      </c>
      <c r="D8" s="145" t="s">
        <v>6</v>
      </c>
      <c r="E8" s="145" t="s">
        <v>533</v>
      </c>
      <c r="F8" s="145" t="s">
        <v>534</v>
      </c>
      <c r="G8" s="145">
        <v>6</v>
      </c>
      <c r="H8" s="145" t="str">
        <f>"31"</f>
        <v>31</v>
      </c>
      <c r="I8" s="145" t="str">
        <f>"26"</f>
        <v>26</v>
      </c>
      <c r="J8" s="144">
        <v>0</v>
      </c>
      <c r="K8" s="145">
        <f t="shared" si="0"/>
        <v>0</v>
      </c>
      <c r="M8" t="s">
        <v>564</v>
      </c>
      <c r="N8" t="e">
        <f ca="1">DecToBin(SUM(K28:K30),32)</f>
        <v>#NAME?</v>
      </c>
    </row>
    <row r="9" spans="1:14" ht="15" thickBot="1" x14ac:dyDescent="0.4">
      <c r="A9" s="158"/>
      <c r="B9" s="155"/>
      <c r="C9" s="156"/>
      <c r="D9" s="145" t="s">
        <v>260</v>
      </c>
      <c r="E9" s="145" t="s">
        <v>540</v>
      </c>
      <c r="F9" s="145" t="s">
        <v>534</v>
      </c>
      <c r="G9" s="145">
        <v>4</v>
      </c>
      <c r="H9" s="145" t="str">
        <f>"25"</f>
        <v>25</v>
      </c>
      <c r="I9" s="145" t="str">
        <f>"22"</f>
        <v>22</v>
      </c>
      <c r="J9" s="144">
        <v>0</v>
      </c>
      <c r="K9" s="145">
        <f t="shared" si="0"/>
        <v>0</v>
      </c>
      <c r="M9" t="s">
        <v>566</v>
      </c>
      <c r="N9" t="e">
        <f ca="1">DecToBin(SUM(K31:K32),32)</f>
        <v>#NAME?</v>
      </c>
    </row>
    <row r="10" spans="1:14" ht="15" thickBot="1" x14ac:dyDescent="0.4">
      <c r="A10" s="158"/>
      <c r="B10" s="155"/>
      <c r="C10" s="156"/>
      <c r="D10" s="145" t="s">
        <v>1</v>
      </c>
      <c r="E10" s="145" t="s">
        <v>541</v>
      </c>
      <c r="F10" s="145" t="s">
        <v>534</v>
      </c>
      <c r="G10" s="145">
        <v>16</v>
      </c>
      <c r="H10" s="145" t="str">
        <f>"21"</f>
        <v>21</v>
      </c>
      <c r="I10" s="145" t="str">
        <f>"6"</f>
        <v>6</v>
      </c>
      <c r="J10" s="144">
        <v>0</v>
      </c>
      <c r="K10" s="145">
        <f t="shared" si="0"/>
        <v>0</v>
      </c>
      <c r="M10" t="s">
        <v>582</v>
      </c>
      <c r="N10" t="e">
        <f ca="1">DecToBin(SUM(K33:K48),32)</f>
        <v>#NAME?</v>
      </c>
    </row>
    <row r="11" spans="1:14" ht="15" thickBot="1" x14ac:dyDescent="0.4">
      <c r="A11" s="158"/>
      <c r="B11" s="155"/>
      <c r="C11" s="156"/>
      <c r="D11" s="145" t="s">
        <v>2</v>
      </c>
      <c r="E11" s="145" t="s">
        <v>542</v>
      </c>
      <c r="F11" s="145" t="s">
        <v>534</v>
      </c>
      <c r="G11" s="145">
        <v>6</v>
      </c>
      <c r="H11" s="145" t="str">
        <f>"5"</f>
        <v>5</v>
      </c>
      <c r="I11" s="145" t="str">
        <f>"0"</f>
        <v>0</v>
      </c>
      <c r="J11" s="144">
        <v>0</v>
      </c>
      <c r="K11" s="145">
        <f t="shared" si="0"/>
        <v>0</v>
      </c>
      <c r="M11" t="s">
        <v>597</v>
      </c>
      <c r="N11" t="e">
        <f ca="1">DecToBin(SUM(K49:K63),32)</f>
        <v>#NAME?</v>
      </c>
    </row>
    <row r="12" spans="1:14" ht="15" thickBot="1" x14ac:dyDescent="0.4">
      <c r="A12" s="158"/>
      <c r="B12" s="155" t="s">
        <v>261</v>
      </c>
      <c r="C12" s="157" t="s">
        <v>547</v>
      </c>
      <c r="D12" s="143" t="s">
        <v>7</v>
      </c>
      <c r="E12" s="143" t="s">
        <v>533</v>
      </c>
      <c r="F12" s="143" t="s">
        <v>534</v>
      </c>
      <c r="G12" s="143">
        <v>6</v>
      </c>
      <c r="H12" s="143" t="str">
        <f>"31"</f>
        <v>31</v>
      </c>
      <c r="I12" s="143" t="str">
        <f>"26"</f>
        <v>26</v>
      </c>
      <c r="J12" s="144">
        <v>0</v>
      </c>
      <c r="K12" s="143">
        <f t="shared" si="0"/>
        <v>0</v>
      </c>
      <c r="M12" t="s">
        <v>603</v>
      </c>
      <c r="N12" t="e">
        <f ca="1">DecToBin(SUM(K64:K69),32)</f>
        <v>#NAME?</v>
      </c>
    </row>
    <row r="13" spans="1:14" ht="15" thickBot="1" x14ac:dyDescent="0.4">
      <c r="A13" s="158"/>
      <c r="B13" s="155"/>
      <c r="C13" s="157"/>
      <c r="D13" s="143" t="s">
        <v>262</v>
      </c>
      <c r="E13" s="143" t="s">
        <v>544</v>
      </c>
      <c r="F13" s="143" t="s">
        <v>534</v>
      </c>
      <c r="G13" s="143">
        <v>16</v>
      </c>
      <c r="H13" s="143" t="str">
        <f>"25"</f>
        <v>25</v>
      </c>
      <c r="I13" s="143" t="str">
        <f>"10"</f>
        <v>10</v>
      </c>
      <c r="J13" s="144">
        <v>0</v>
      </c>
      <c r="K13" s="143">
        <f t="shared" si="0"/>
        <v>0</v>
      </c>
      <c r="M13" t="s">
        <v>607</v>
      </c>
      <c r="N13" t="e">
        <f ca="1">DecToBin(SUM(K70:K73),32)</f>
        <v>#NAME?</v>
      </c>
    </row>
    <row r="14" spans="1:14" ht="15" thickBot="1" x14ac:dyDescent="0.4">
      <c r="A14" s="158"/>
      <c r="B14" s="155"/>
      <c r="C14" s="157"/>
      <c r="D14" s="143" t="s">
        <v>263</v>
      </c>
      <c r="E14" s="143" t="s">
        <v>545</v>
      </c>
      <c r="F14" s="143" t="s">
        <v>534</v>
      </c>
      <c r="G14" s="143">
        <v>3</v>
      </c>
      <c r="H14" s="143" t="str">
        <f>"9"</f>
        <v>9</v>
      </c>
      <c r="I14" s="143" t="str">
        <f>"7"</f>
        <v>7</v>
      </c>
      <c r="J14" s="144">
        <v>0</v>
      </c>
      <c r="K14" s="143">
        <f t="shared" si="0"/>
        <v>0</v>
      </c>
      <c r="M14" t="s">
        <v>611</v>
      </c>
      <c r="N14" t="e">
        <f ca="1">DecToBin(SUM(K74:K77),32)</f>
        <v>#NAME?</v>
      </c>
    </row>
    <row r="15" spans="1:14" ht="15" thickBot="1" x14ac:dyDescent="0.4">
      <c r="A15" s="158"/>
      <c r="B15" s="155"/>
      <c r="C15" s="157"/>
      <c r="D15" s="143" t="s">
        <v>264</v>
      </c>
      <c r="E15" s="143" t="s">
        <v>546</v>
      </c>
      <c r="F15" s="143" t="s">
        <v>534</v>
      </c>
      <c r="G15" s="143">
        <v>7</v>
      </c>
      <c r="H15" s="143" t="str">
        <f>"6"</f>
        <v>6</v>
      </c>
      <c r="I15" s="143" t="str">
        <f>"0"</f>
        <v>0</v>
      </c>
      <c r="J15" s="144">
        <v>0</v>
      </c>
      <c r="K15" s="143">
        <f t="shared" si="0"/>
        <v>0</v>
      </c>
      <c r="M15" t="s">
        <v>616</v>
      </c>
      <c r="N15" t="e">
        <f ca="1">DecToBin(SUM(K78:K82),32)</f>
        <v>#NAME?</v>
      </c>
    </row>
    <row r="16" spans="1:14" ht="15" thickBot="1" x14ac:dyDescent="0.4">
      <c r="A16" s="158"/>
      <c r="B16" s="155" t="s">
        <v>265</v>
      </c>
      <c r="C16" s="156" t="s">
        <v>550</v>
      </c>
      <c r="D16" s="145" t="s">
        <v>8</v>
      </c>
      <c r="E16" s="145" t="s">
        <v>548</v>
      </c>
      <c r="F16" s="145" t="s">
        <v>534</v>
      </c>
      <c r="G16" s="145">
        <v>6</v>
      </c>
      <c r="H16" s="145" t="str">
        <f>"31"</f>
        <v>31</v>
      </c>
      <c r="I16" s="145" t="str">
        <f>"26"</f>
        <v>26</v>
      </c>
      <c r="J16" s="144">
        <v>0</v>
      </c>
      <c r="K16" s="145">
        <f t="shared" si="0"/>
        <v>0</v>
      </c>
      <c r="M16" t="s">
        <v>619</v>
      </c>
      <c r="N16" t="e">
        <f ca="1">DecToBin(SUM(K83:K86),32)</f>
        <v>#NAME?</v>
      </c>
    </row>
    <row r="17" spans="1:14" ht="15" thickBot="1" x14ac:dyDescent="0.4">
      <c r="A17" s="158"/>
      <c r="B17" s="155"/>
      <c r="C17" s="156"/>
      <c r="D17" s="145" t="s">
        <v>266</v>
      </c>
      <c r="E17" s="145" t="s">
        <v>549</v>
      </c>
      <c r="F17" s="145" t="s">
        <v>534</v>
      </c>
      <c r="G17" s="145">
        <v>26</v>
      </c>
      <c r="H17" s="145" t="str">
        <f>"25"</f>
        <v>25</v>
      </c>
      <c r="I17" s="145" t="str">
        <f>"0"</f>
        <v>0</v>
      </c>
      <c r="J17" s="144">
        <v>0</v>
      </c>
      <c r="K17" s="145">
        <f t="shared" si="0"/>
        <v>0</v>
      </c>
      <c r="M17" t="s">
        <v>623</v>
      </c>
      <c r="N17" t="e">
        <f ca="1">DecToBin(SUM(K87:K90),32)</f>
        <v>#NAME?</v>
      </c>
    </row>
    <row r="18" spans="1:14" ht="15" thickBot="1" x14ac:dyDescent="0.4">
      <c r="A18" s="158"/>
      <c r="B18" s="155" t="s">
        <v>267</v>
      </c>
      <c r="C18" s="157" t="s">
        <v>561</v>
      </c>
      <c r="D18" s="143" t="s">
        <v>9</v>
      </c>
      <c r="E18" s="143" t="s">
        <v>533</v>
      </c>
      <c r="F18" s="143" t="s">
        <v>534</v>
      </c>
      <c r="G18" s="143">
        <v>6</v>
      </c>
      <c r="H18" s="143" t="str">
        <f>"31"</f>
        <v>31</v>
      </c>
      <c r="I18" s="143" t="str">
        <f>"26"</f>
        <v>26</v>
      </c>
      <c r="J18" s="144">
        <v>0</v>
      </c>
      <c r="K18" s="143">
        <f t="shared" si="0"/>
        <v>0</v>
      </c>
      <c r="M18" t="s">
        <v>629</v>
      </c>
      <c r="N18" t="e">
        <f ca="1">DecToBin(SUM(K91:K96),32)</f>
        <v>#NAME?</v>
      </c>
    </row>
    <row r="19" spans="1:14" ht="15" thickBot="1" x14ac:dyDescent="0.4">
      <c r="A19" s="158"/>
      <c r="B19" s="155"/>
      <c r="C19" s="157"/>
      <c r="D19" s="143" t="s">
        <v>551</v>
      </c>
      <c r="E19" s="143" t="s">
        <v>552</v>
      </c>
      <c r="F19" s="143" t="s">
        <v>534</v>
      </c>
      <c r="G19" s="143">
        <v>8</v>
      </c>
      <c r="H19" s="143" t="str">
        <f>"25"</f>
        <v>25</v>
      </c>
      <c r="I19" s="143" t="str">
        <f>"18"</f>
        <v>18</v>
      </c>
      <c r="J19" s="144">
        <v>0</v>
      </c>
      <c r="K19" s="143">
        <f t="shared" si="0"/>
        <v>0</v>
      </c>
      <c r="M19" t="s">
        <v>647</v>
      </c>
      <c r="N19" t="e">
        <f ca="1">DecToBin(SUM(K97:K114),32)</f>
        <v>#NAME?</v>
      </c>
    </row>
    <row r="20" spans="1:14" ht="15" thickBot="1" x14ac:dyDescent="0.4">
      <c r="A20" s="158"/>
      <c r="B20" s="155"/>
      <c r="C20" s="157"/>
      <c r="D20" s="143" t="s">
        <v>42</v>
      </c>
      <c r="E20" s="143" t="s">
        <v>553</v>
      </c>
      <c r="F20" s="143" t="s">
        <v>534</v>
      </c>
      <c r="G20" s="143">
        <v>1</v>
      </c>
      <c r="H20" s="143"/>
      <c r="I20" s="143" t="str">
        <f>"17"</f>
        <v>17</v>
      </c>
      <c r="J20" s="144">
        <v>0</v>
      </c>
      <c r="K20" s="143">
        <f t="shared" si="0"/>
        <v>0</v>
      </c>
      <c r="M20" t="s">
        <v>651</v>
      </c>
      <c r="N20" t="e">
        <f ca="1">DecToBin(SUM(K115:K118),32)</f>
        <v>#NAME?</v>
      </c>
    </row>
    <row r="21" spans="1:14" ht="44" thickBot="1" x14ac:dyDescent="0.4">
      <c r="A21" s="158"/>
      <c r="B21" s="155"/>
      <c r="C21" s="157"/>
      <c r="D21" s="143" t="s">
        <v>268</v>
      </c>
      <c r="E21" s="146" t="s">
        <v>554</v>
      </c>
      <c r="F21" s="143" t="s">
        <v>534</v>
      </c>
      <c r="G21" s="143">
        <v>2</v>
      </c>
      <c r="H21" s="143" t="str">
        <f>"16"</f>
        <v>16</v>
      </c>
      <c r="I21" s="143" t="str">
        <f>"15"</f>
        <v>15</v>
      </c>
      <c r="J21" s="144">
        <v>0</v>
      </c>
      <c r="K21" s="143">
        <f t="shared" si="0"/>
        <v>0</v>
      </c>
      <c r="M21" t="s">
        <v>657</v>
      </c>
      <c r="N21" t="e">
        <f ca="1">DecToBin(SUM(K119:K124),32)</f>
        <v>#NAME?</v>
      </c>
    </row>
    <row r="22" spans="1:14" ht="29.5" thickBot="1" x14ac:dyDescent="0.4">
      <c r="A22" s="158"/>
      <c r="B22" s="155"/>
      <c r="C22" s="157"/>
      <c r="D22" s="143" t="s">
        <v>269</v>
      </c>
      <c r="E22" s="146" t="s">
        <v>555</v>
      </c>
      <c r="F22" s="143" t="s">
        <v>534</v>
      </c>
      <c r="G22" s="143">
        <v>2</v>
      </c>
      <c r="H22" s="143" t="str">
        <f>"14"</f>
        <v>14</v>
      </c>
      <c r="I22" s="143" t="str">
        <f>"13"</f>
        <v>13</v>
      </c>
      <c r="J22" s="144">
        <v>0</v>
      </c>
      <c r="K22" s="143">
        <f t="shared" si="0"/>
        <v>0</v>
      </c>
      <c r="M22" t="s">
        <v>660</v>
      </c>
      <c r="N22" t="e">
        <f ca="1">DecToBin(SUM(K125:K127),32)</f>
        <v>#NAME?</v>
      </c>
    </row>
    <row r="23" spans="1:14" ht="29.5" thickBot="1" x14ac:dyDescent="0.4">
      <c r="A23" s="158"/>
      <c r="B23" s="155"/>
      <c r="C23" s="157"/>
      <c r="D23" s="143" t="s">
        <v>270</v>
      </c>
      <c r="E23" s="146" t="s">
        <v>556</v>
      </c>
      <c r="F23" s="143" t="s">
        <v>534</v>
      </c>
      <c r="G23" s="143">
        <v>2</v>
      </c>
      <c r="H23" s="143" t="str">
        <f>"12"</f>
        <v>12</v>
      </c>
      <c r="I23" s="143" t="str">
        <f>"11"</f>
        <v>11</v>
      </c>
      <c r="J23" s="144">
        <v>0</v>
      </c>
      <c r="K23" s="143">
        <f t="shared" si="0"/>
        <v>0</v>
      </c>
      <c r="M23" t="s">
        <v>663</v>
      </c>
      <c r="N23" t="e">
        <f ca="1">DecToBin(SUM(K128:K130),32)</f>
        <v>#NAME?</v>
      </c>
    </row>
    <row r="24" spans="1:14" ht="44" thickBot="1" x14ac:dyDescent="0.4">
      <c r="A24" s="158"/>
      <c r="B24" s="155"/>
      <c r="C24" s="157"/>
      <c r="D24" s="143" t="s">
        <v>271</v>
      </c>
      <c r="E24" s="146" t="s">
        <v>557</v>
      </c>
      <c r="F24" s="143" t="s">
        <v>534</v>
      </c>
      <c r="G24" s="143">
        <v>2</v>
      </c>
      <c r="H24" s="143" t="str">
        <f>"10"</f>
        <v>10</v>
      </c>
      <c r="I24" s="143" t="str">
        <f>"9"</f>
        <v>9</v>
      </c>
      <c r="J24" s="144">
        <v>0</v>
      </c>
      <c r="K24" s="143">
        <f t="shared" si="0"/>
        <v>0</v>
      </c>
      <c r="M24" t="s">
        <v>666</v>
      </c>
      <c r="N24" t="e">
        <f ca="1">DecToBin(SUM(K131:K133),32)</f>
        <v>#NAME?</v>
      </c>
    </row>
    <row r="25" spans="1:14" ht="15" thickBot="1" x14ac:dyDescent="0.4">
      <c r="A25" s="158"/>
      <c r="B25" s="155"/>
      <c r="C25" s="157"/>
      <c r="D25" s="143" t="s">
        <v>272</v>
      </c>
      <c r="E25" s="143" t="s">
        <v>558</v>
      </c>
      <c r="F25" s="143" t="s">
        <v>534</v>
      </c>
      <c r="G25" s="143">
        <v>1</v>
      </c>
      <c r="H25" s="143"/>
      <c r="I25" s="143" t="str">
        <f>"8"</f>
        <v>8</v>
      </c>
      <c r="J25" s="144">
        <v>0</v>
      </c>
      <c r="K25" s="143">
        <f t="shared" si="0"/>
        <v>0</v>
      </c>
      <c r="M25" t="s">
        <v>669</v>
      </c>
      <c r="N25" t="e">
        <f ca="1">DecToBin(SUM(K134:K136),32)</f>
        <v>#NAME?</v>
      </c>
    </row>
    <row r="26" spans="1:14" ht="58.5" thickBot="1" x14ac:dyDescent="0.4">
      <c r="A26" s="158"/>
      <c r="B26" s="155"/>
      <c r="C26" s="157"/>
      <c r="D26" s="143" t="s">
        <v>273</v>
      </c>
      <c r="E26" s="146" t="s">
        <v>559</v>
      </c>
      <c r="F26" s="143" t="s">
        <v>534</v>
      </c>
      <c r="G26" s="143">
        <v>4</v>
      </c>
      <c r="H26" s="143" t="str">
        <f>"7"</f>
        <v>7</v>
      </c>
      <c r="I26" s="143" t="str">
        <f>"4"</f>
        <v>4</v>
      </c>
      <c r="J26" s="144">
        <v>0</v>
      </c>
      <c r="K26" s="143">
        <f t="shared" si="0"/>
        <v>0</v>
      </c>
      <c r="M26" t="s">
        <v>672</v>
      </c>
      <c r="N26" t="e">
        <f ca="1">DecToBin(SUM(K137:K139),32)</f>
        <v>#NAME?</v>
      </c>
    </row>
    <row r="27" spans="1:14" ht="58.5" thickBot="1" x14ac:dyDescent="0.4">
      <c r="A27" s="158"/>
      <c r="B27" s="155"/>
      <c r="C27" s="157"/>
      <c r="D27" s="143" t="s">
        <v>44</v>
      </c>
      <c r="E27" s="146" t="s">
        <v>560</v>
      </c>
      <c r="F27" s="143" t="s">
        <v>534</v>
      </c>
      <c r="G27" s="143">
        <v>4</v>
      </c>
      <c r="H27" s="143" t="str">
        <f>"3"</f>
        <v>3</v>
      </c>
      <c r="I27" s="143" t="str">
        <f>"0"</f>
        <v>0</v>
      </c>
      <c r="J27" s="144">
        <v>0</v>
      </c>
      <c r="K27" s="143">
        <f t="shared" si="0"/>
        <v>0</v>
      </c>
      <c r="M27" t="s">
        <v>675</v>
      </c>
      <c r="N27" t="e">
        <f ca="1">DecToBin(SUM(K140:K142),32)</f>
        <v>#NAME?</v>
      </c>
    </row>
    <row r="28" spans="1:14" ht="15" thickBot="1" x14ac:dyDescent="0.4">
      <c r="A28" s="158"/>
      <c r="B28" s="155" t="s">
        <v>274</v>
      </c>
      <c r="C28" s="156" t="s">
        <v>564</v>
      </c>
      <c r="D28" s="145" t="s">
        <v>10</v>
      </c>
      <c r="E28" s="145" t="s">
        <v>533</v>
      </c>
      <c r="F28" s="145" t="s">
        <v>534</v>
      </c>
      <c r="G28" s="145">
        <v>6</v>
      </c>
      <c r="H28" s="145" t="str">
        <f>"31"</f>
        <v>31</v>
      </c>
      <c r="I28" s="145" t="str">
        <f>"26"</f>
        <v>26</v>
      </c>
      <c r="J28" s="144">
        <v>0</v>
      </c>
      <c r="K28" s="145">
        <f t="shared" si="0"/>
        <v>0</v>
      </c>
      <c r="M28" t="s">
        <v>678</v>
      </c>
      <c r="N28" t="e">
        <f ca="1">DecToBin(SUM(K143:K145),32)</f>
        <v>#NAME?</v>
      </c>
    </row>
    <row r="29" spans="1:14" ht="15" thickBot="1" x14ac:dyDescent="0.4">
      <c r="A29" s="158"/>
      <c r="B29" s="155"/>
      <c r="C29" s="156"/>
      <c r="D29" s="145" t="s">
        <v>562</v>
      </c>
      <c r="E29" s="145" t="s">
        <v>552</v>
      </c>
      <c r="F29" s="145" t="s">
        <v>534</v>
      </c>
      <c r="G29" s="145">
        <v>9</v>
      </c>
      <c r="H29" s="145" t="str">
        <f>"25"</f>
        <v>25</v>
      </c>
      <c r="I29" s="145" t="str">
        <f>"17"</f>
        <v>17</v>
      </c>
      <c r="J29" s="144">
        <v>0</v>
      </c>
      <c r="K29" s="145">
        <f t="shared" si="0"/>
        <v>0</v>
      </c>
      <c r="M29" t="s">
        <v>681</v>
      </c>
      <c r="N29" t="e">
        <f ca="1">DecToBin(SUM(K146:K148),32)</f>
        <v>#NAME?</v>
      </c>
    </row>
    <row r="30" spans="1:14" ht="232.5" thickBot="1" x14ac:dyDescent="0.4">
      <c r="A30" s="158"/>
      <c r="B30" s="155"/>
      <c r="C30" s="156"/>
      <c r="D30" s="145" t="s">
        <v>275</v>
      </c>
      <c r="E30" s="147" t="s">
        <v>563</v>
      </c>
      <c r="F30" s="145" t="s">
        <v>534</v>
      </c>
      <c r="G30" s="145">
        <v>17</v>
      </c>
      <c r="H30" s="145" t="str">
        <f>"16"</f>
        <v>16</v>
      </c>
      <c r="I30" s="145" t="str">
        <f>"0"</f>
        <v>0</v>
      </c>
      <c r="J30" s="144">
        <v>0</v>
      </c>
      <c r="K30" s="145">
        <f t="shared" si="0"/>
        <v>0</v>
      </c>
      <c r="M30" t="s">
        <v>691</v>
      </c>
      <c r="N30" t="e">
        <f ca="1">DecToBin(SUM(K149:K157),32)</f>
        <v>#NAME?</v>
      </c>
    </row>
    <row r="31" spans="1:14" ht="15" thickBot="1" x14ac:dyDescent="0.4">
      <c r="A31" s="158"/>
      <c r="B31" s="155" t="s">
        <v>276</v>
      </c>
      <c r="C31" s="157" t="s">
        <v>566</v>
      </c>
      <c r="D31" s="143" t="s">
        <v>11</v>
      </c>
      <c r="E31" s="143" t="s">
        <v>533</v>
      </c>
      <c r="F31" s="143" t="s">
        <v>534</v>
      </c>
      <c r="G31" s="143">
        <v>6</v>
      </c>
      <c r="H31" s="143" t="str">
        <f>"31"</f>
        <v>31</v>
      </c>
      <c r="I31" s="143" t="str">
        <f>"26"</f>
        <v>26</v>
      </c>
      <c r="J31" s="144">
        <v>0</v>
      </c>
      <c r="K31" s="143">
        <f t="shared" si="0"/>
        <v>0</v>
      </c>
      <c r="M31" t="s">
        <v>695</v>
      </c>
      <c r="N31" t="e">
        <f ca="1">DecToBin(SUM(K158:K161),32)</f>
        <v>#NAME?</v>
      </c>
    </row>
    <row r="32" spans="1:14" ht="15" thickBot="1" x14ac:dyDescent="0.4">
      <c r="A32" s="158"/>
      <c r="B32" s="155"/>
      <c r="C32" s="157"/>
      <c r="D32" s="143" t="s">
        <v>565</v>
      </c>
      <c r="E32" s="143" t="s">
        <v>552</v>
      </c>
      <c r="F32" s="143" t="s">
        <v>534</v>
      </c>
      <c r="G32" s="143">
        <v>26</v>
      </c>
      <c r="H32" s="143" t="str">
        <f>"25"</f>
        <v>25</v>
      </c>
      <c r="I32" s="143" t="str">
        <f>"0"</f>
        <v>0</v>
      </c>
      <c r="J32" s="144">
        <v>0</v>
      </c>
      <c r="K32" s="143">
        <f t="shared" si="0"/>
        <v>0</v>
      </c>
      <c r="M32" t="s">
        <v>700</v>
      </c>
      <c r="N32" t="e">
        <f ca="1">DecToBin(SUM(K162:K166),32)</f>
        <v>#NAME?</v>
      </c>
    </row>
    <row r="33" spans="1:14" ht="15" thickBot="1" x14ac:dyDescent="0.4">
      <c r="A33" s="158"/>
      <c r="B33" s="155" t="s">
        <v>277</v>
      </c>
      <c r="C33" s="156" t="s">
        <v>582</v>
      </c>
      <c r="D33" s="145" t="s">
        <v>12</v>
      </c>
      <c r="E33" s="145" t="s">
        <v>533</v>
      </c>
      <c r="F33" s="145" t="s">
        <v>534</v>
      </c>
      <c r="G33" s="145">
        <v>6</v>
      </c>
      <c r="H33" s="145" t="str">
        <f>"31"</f>
        <v>31</v>
      </c>
      <c r="I33" s="145" t="str">
        <f>"26"</f>
        <v>26</v>
      </c>
      <c r="J33" s="144">
        <v>0</v>
      </c>
      <c r="K33" s="145">
        <f t="shared" si="0"/>
        <v>0</v>
      </c>
      <c r="M33" t="s">
        <v>710</v>
      </c>
      <c r="N33" t="e">
        <f ca="1">DecToBin(SUM(K167:K176),32)</f>
        <v>#NAME?</v>
      </c>
    </row>
    <row r="34" spans="1:14" ht="15" thickBot="1" x14ac:dyDescent="0.4">
      <c r="A34" s="158"/>
      <c r="B34" s="155"/>
      <c r="C34" s="156"/>
      <c r="D34" s="145" t="s">
        <v>567</v>
      </c>
      <c r="E34" s="145" t="s">
        <v>552</v>
      </c>
      <c r="F34" s="145" t="s">
        <v>534</v>
      </c>
      <c r="G34" s="145">
        <v>1</v>
      </c>
      <c r="H34" s="145"/>
      <c r="I34" s="145" t="str">
        <f>"25"</f>
        <v>25</v>
      </c>
      <c r="J34" s="144">
        <v>0</v>
      </c>
      <c r="K34" s="145">
        <f t="shared" si="0"/>
        <v>0</v>
      </c>
      <c r="M34" t="s">
        <v>713</v>
      </c>
      <c r="N34" t="e">
        <f ca="1">DecToBin(SUM(K177:K179),32)</f>
        <v>#NAME?</v>
      </c>
    </row>
    <row r="35" spans="1:14" ht="15" thickBot="1" x14ac:dyDescent="0.4">
      <c r="A35" s="158"/>
      <c r="B35" s="155"/>
      <c r="C35" s="156"/>
      <c r="D35" s="145" t="s">
        <v>278</v>
      </c>
      <c r="E35" s="145" t="s">
        <v>568</v>
      </c>
      <c r="F35" s="145" t="s">
        <v>534</v>
      </c>
      <c r="G35" s="145">
        <v>2</v>
      </c>
      <c r="H35" s="145" t="str">
        <f>"24"</f>
        <v>24</v>
      </c>
      <c r="I35" s="145" t="str">
        <f>"23"</f>
        <v>23</v>
      </c>
      <c r="J35" s="144">
        <v>0</v>
      </c>
      <c r="K35" s="145">
        <f t="shared" si="0"/>
        <v>0</v>
      </c>
      <c r="M35" t="s">
        <v>723</v>
      </c>
      <c r="N35" t="e">
        <f ca="1">DecToBin(SUM(K180:K187),18)</f>
        <v>#NAME?</v>
      </c>
    </row>
    <row r="36" spans="1:14" ht="15" thickBot="1" x14ac:dyDescent="0.4">
      <c r="A36" s="158"/>
      <c r="B36" s="155"/>
      <c r="C36" s="156"/>
      <c r="D36" s="145" t="s">
        <v>279</v>
      </c>
      <c r="E36" s="145" t="s">
        <v>569</v>
      </c>
      <c r="F36" s="145" t="s">
        <v>534</v>
      </c>
      <c r="G36" s="145">
        <v>4</v>
      </c>
      <c r="H36" s="145" t="str">
        <f>"22"</f>
        <v>22</v>
      </c>
      <c r="I36" s="145" t="str">
        <f>"19"</f>
        <v>19</v>
      </c>
      <c r="J36" s="144">
        <v>0</v>
      </c>
      <c r="K36" s="145">
        <f t="shared" si="0"/>
        <v>0</v>
      </c>
      <c r="M36" t="s">
        <v>725</v>
      </c>
      <c r="N36" t="e">
        <f ca="1">DecToBin(SUM(K188:K188),17)</f>
        <v>#NAME?</v>
      </c>
    </row>
    <row r="37" spans="1:14" ht="15" thickBot="1" x14ac:dyDescent="0.4">
      <c r="A37" s="158"/>
      <c r="B37" s="155"/>
      <c r="C37" s="156"/>
      <c r="D37" s="145" t="s">
        <v>280</v>
      </c>
      <c r="E37" s="145" t="s">
        <v>570</v>
      </c>
      <c r="F37" s="145" t="s">
        <v>534</v>
      </c>
      <c r="G37" s="145">
        <v>1</v>
      </c>
      <c r="H37" s="145"/>
      <c r="I37" s="145" t="str">
        <f>"18"</f>
        <v>18</v>
      </c>
      <c r="J37" s="144">
        <v>0</v>
      </c>
      <c r="K37" s="145">
        <f t="shared" si="0"/>
        <v>0</v>
      </c>
      <c r="M37" t="s">
        <v>727</v>
      </c>
      <c r="N37" t="e">
        <f ca="1">DecToBin(SUM(K189:K189),26)</f>
        <v>#NAME?</v>
      </c>
    </row>
    <row r="38" spans="1:14" ht="15" thickBot="1" x14ac:dyDescent="0.4">
      <c r="A38" s="158"/>
      <c r="B38" s="155"/>
      <c r="C38" s="156"/>
      <c r="D38" s="145" t="s">
        <v>281</v>
      </c>
      <c r="E38" s="145" t="s">
        <v>571</v>
      </c>
      <c r="F38" s="145" t="s">
        <v>534</v>
      </c>
      <c r="G38" s="145">
        <v>1</v>
      </c>
      <c r="H38" s="145"/>
      <c r="I38" s="145" t="str">
        <f>"17"</f>
        <v>17</v>
      </c>
      <c r="J38" s="144">
        <v>0</v>
      </c>
      <c r="K38" s="145">
        <f t="shared" si="0"/>
        <v>0</v>
      </c>
      <c r="M38" t="s">
        <v>742</v>
      </c>
      <c r="N38" t="e">
        <f ca="1">DecToBin(SUM(K190:K203),25)</f>
        <v>#NAME?</v>
      </c>
    </row>
    <row r="39" spans="1:14" ht="15" thickBot="1" x14ac:dyDescent="0.4">
      <c r="A39" s="158"/>
      <c r="B39" s="155"/>
      <c r="C39" s="156"/>
      <c r="D39" s="145" t="s">
        <v>282</v>
      </c>
      <c r="E39" s="148" t="s">
        <v>572</v>
      </c>
      <c r="F39" s="145" t="s">
        <v>534</v>
      </c>
      <c r="G39" s="145">
        <v>1</v>
      </c>
      <c r="H39" s="145"/>
      <c r="I39" s="145" t="str">
        <f>"16"</f>
        <v>16</v>
      </c>
      <c r="J39" s="144">
        <v>0</v>
      </c>
      <c r="K39" s="145">
        <f t="shared" si="0"/>
        <v>0</v>
      </c>
      <c r="M39" t="s">
        <v>757</v>
      </c>
      <c r="N39" t="e">
        <f ca="1">DecToBin(SUM(K204:K217),26)</f>
        <v>#NAME?</v>
      </c>
    </row>
    <row r="40" spans="1:14" ht="44" thickBot="1" x14ac:dyDescent="0.4">
      <c r="A40" s="158"/>
      <c r="B40" s="155"/>
      <c r="C40" s="156"/>
      <c r="D40" s="145" t="s">
        <v>283</v>
      </c>
      <c r="E40" s="147" t="s">
        <v>573</v>
      </c>
      <c r="F40" s="145" t="s">
        <v>534</v>
      </c>
      <c r="G40" s="145">
        <v>3</v>
      </c>
      <c r="H40" s="145" t="str">
        <f>"15"</f>
        <v>15</v>
      </c>
      <c r="I40" s="145" t="str">
        <f>"13"</f>
        <v>13</v>
      </c>
      <c r="J40" s="144">
        <v>0</v>
      </c>
      <c r="K40" s="145">
        <f t="shared" si="0"/>
        <v>0</v>
      </c>
      <c r="M40" t="s">
        <v>763</v>
      </c>
      <c r="N40" t="e">
        <f ca="1">DecToBin(SUM(K218:K222),26)</f>
        <v>#NAME?</v>
      </c>
    </row>
    <row r="41" spans="1:14" ht="15" thickBot="1" x14ac:dyDescent="0.4">
      <c r="A41" s="158"/>
      <c r="B41" s="155"/>
      <c r="C41" s="156"/>
      <c r="D41" s="145" t="s">
        <v>284</v>
      </c>
      <c r="E41" s="145" t="s">
        <v>574</v>
      </c>
      <c r="F41" s="145" t="s">
        <v>534</v>
      </c>
      <c r="G41" s="145">
        <v>1</v>
      </c>
      <c r="H41" s="145"/>
      <c r="I41" s="145" t="str">
        <f>"12"</f>
        <v>12</v>
      </c>
      <c r="J41" s="144">
        <v>0</v>
      </c>
      <c r="K41" s="145">
        <f t="shared" si="0"/>
        <v>0</v>
      </c>
      <c r="M41" t="s">
        <v>767</v>
      </c>
      <c r="N41" t="e">
        <f ca="1">DecToBin(SUM(K223:K225),26)</f>
        <v>#NAME?</v>
      </c>
    </row>
    <row r="42" spans="1:14" ht="29.5" thickBot="1" x14ac:dyDescent="0.4">
      <c r="A42" s="158"/>
      <c r="B42" s="155"/>
      <c r="C42" s="156"/>
      <c r="D42" s="145" t="s">
        <v>285</v>
      </c>
      <c r="E42" s="147" t="s">
        <v>575</v>
      </c>
      <c r="F42" s="145" t="s">
        <v>534</v>
      </c>
      <c r="G42" s="145">
        <v>1</v>
      </c>
      <c r="H42" s="145"/>
      <c r="I42" s="145" t="str">
        <f>"11"</f>
        <v>11</v>
      </c>
      <c r="J42" s="144">
        <v>0</v>
      </c>
      <c r="K42" s="145">
        <f t="shared" si="0"/>
        <v>0</v>
      </c>
      <c r="M42" t="s">
        <v>770</v>
      </c>
      <c r="N42" t="e">
        <f ca="1">DecToBin(SUM(K226:K227),18)</f>
        <v>#NAME?</v>
      </c>
    </row>
    <row r="43" spans="1:14" ht="29.5" thickBot="1" x14ac:dyDescent="0.4">
      <c r="A43" s="158"/>
      <c r="B43" s="155"/>
      <c r="C43" s="156"/>
      <c r="D43" s="145" t="s">
        <v>286</v>
      </c>
      <c r="E43" s="147" t="s">
        <v>576</v>
      </c>
      <c r="F43" s="145" t="s">
        <v>534</v>
      </c>
      <c r="G43" s="145">
        <v>4</v>
      </c>
      <c r="H43" s="145" t="str">
        <f>"10"</f>
        <v>10</v>
      </c>
      <c r="I43" s="145" t="str">
        <f>"7"</f>
        <v>7</v>
      </c>
      <c r="J43" s="144">
        <v>0</v>
      </c>
      <c r="K43" s="145">
        <f t="shared" si="0"/>
        <v>0</v>
      </c>
      <c r="M43" t="s">
        <v>775</v>
      </c>
      <c r="N43" t="e">
        <f ca="1">DecToBin(SUM(K228:K231),26)</f>
        <v>#NAME?</v>
      </c>
    </row>
    <row r="44" spans="1:14" ht="15" thickBot="1" x14ac:dyDescent="0.4">
      <c r="A44" s="158"/>
      <c r="B44" s="155"/>
      <c r="C44" s="156"/>
      <c r="D44" s="145" t="s">
        <v>287</v>
      </c>
      <c r="E44" s="145" t="s">
        <v>577</v>
      </c>
      <c r="F44" s="145" t="s">
        <v>534</v>
      </c>
      <c r="G44" s="145">
        <v>1</v>
      </c>
      <c r="H44" s="145"/>
      <c r="I44" s="145" t="str">
        <f>"6"</f>
        <v>6</v>
      </c>
      <c r="J44" s="144">
        <v>0</v>
      </c>
      <c r="K44" s="145">
        <f t="shared" si="0"/>
        <v>0</v>
      </c>
      <c r="M44" t="s">
        <v>779</v>
      </c>
      <c r="N44" t="e">
        <f ca="1">DecToBin(SUM(K232:K234),26)</f>
        <v>#NAME?</v>
      </c>
    </row>
    <row r="45" spans="1:14" ht="15" thickBot="1" x14ac:dyDescent="0.4">
      <c r="A45" s="158"/>
      <c r="B45" s="155"/>
      <c r="C45" s="156"/>
      <c r="D45" s="145" t="s">
        <v>288</v>
      </c>
      <c r="E45" s="145" t="s">
        <v>578</v>
      </c>
      <c r="F45" s="145" t="s">
        <v>534</v>
      </c>
      <c r="G45" s="145">
        <v>1</v>
      </c>
      <c r="H45" s="145"/>
      <c r="I45" s="145" t="str">
        <f>"5"</f>
        <v>5</v>
      </c>
      <c r="J45" s="144">
        <v>0</v>
      </c>
      <c r="K45" s="145">
        <f t="shared" si="0"/>
        <v>0</v>
      </c>
      <c r="M45" t="s">
        <v>783</v>
      </c>
      <c r="N45" t="e">
        <f ca="1">DecToBin(SUM(K235:K237),26)</f>
        <v>#NAME?</v>
      </c>
    </row>
    <row r="46" spans="1:14" ht="15" thickBot="1" x14ac:dyDescent="0.4">
      <c r="A46" s="158"/>
      <c r="B46" s="155"/>
      <c r="C46" s="156"/>
      <c r="D46" s="145" t="s">
        <v>289</v>
      </c>
      <c r="E46" s="145" t="s">
        <v>579</v>
      </c>
      <c r="F46" s="145" t="s">
        <v>534</v>
      </c>
      <c r="G46" s="145">
        <v>1</v>
      </c>
      <c r="H46" s="145"/>
      <c r="I46" s="145" t="str">
        <f>"4"</f>
        <v>4</v>
      </c>
      <c r="J46" s="144">
        <v>0</v>
      </c>
      <c r="K46" s="145">
        <f t="shared" si="0"/>
        <v>0</v>
      </c>
      <c r="M46" t="s">
        <v>789</v>
      </c>
      <c r="N46" t="e">
        <f ca="1">DecToBin(SUM(K238:K242),26)</f>
        <v>#NAME?</v>
      </c>
    </row>
    <row r="47" spans="1:14" ht="29.5" thickBot="1" x14ac:dyDescent="0.4">
      <c r="A47" s="158"/>
      <c r="B47" s="155"/>
      <c r="C47" s="156"/>
      <c r="D47" s="145" t="s">
        <v>290</v>
      </c>
      <c r="E47" s="147" t="s">
        <v>580</v>
      </c>
      <c r="F47" s="145" t="s">
        <v>534</v>
      </c>
      <c r="G47" s="145">
        <v>2</v>
      </c>
      <c r="H47" s="145" t="str">
        <f>"3"</f>
        <v>3</v>
      </c>
      <c r="I47" s="145" t="str">
        <f>"2"</f>
        <v>2</v>
      </c>
      <c r="J47" s="144">
        <v>0</v>
      </c>
      <c r="K47" s="145">
        <f t="shared" si="0"/>
        <v>0</v>
      </c>
      <c r="M47" t="s">
        <v>807</v>
      </c>
      <c r="N47" t="e">
        <f ca="1">DecToBin(SUM(K243:K259),26)</f>
        <v>#NAME?</v>
      </c>
    </row>
    <row r="48" spans="1:14" ht="29.5" thickBot="1" x14ac:dyDescent="0.4">
      <c r="A48" s="158"/>
      <c r="B48" s="155"/>
      <c r="C48" s="156"/>
      <c r="D48" s="145" t="s">
        <v>291</v>
      </c>
      <c r="E48" s="147" t="s">
        <v>581</v>
      </c>
      <c r="F48" s="145" t="s">
        <v>534</v>
      </c>
      <c r="G48" s="145">
        <v>2</v>
      </c>
      <c r="H48" s="145" t="str">
        <f>"1"</f>
        <v>1</v>
      </c>
      <c r="I48" s="145" t="str">
        <f>"0"</f>
        <v>0</v>
      </c>
      <c r="J48" s="144">
        <v>0</v>
      </c>
      <c r="K48" s="145">
        <f t="shared" si="0"/>
        <v>0</v>
      </c>
      <c r="M48" t="s">
        <v>810</v>
      </c>
      <c r="N48" t="e">
        <f ca="1">DecToBin(SUM(K260:K261),9)</f>
        <v>#NAME?</v>
      </c>
    </row>
    <row r="49" spans="1:14" ht="15" thickBot="1" x14ac:dyDescent="0.4">
      <c r="A49" s="158"/>
      <c r="B49" s="155" t="s">
        <v>292</v>
      </c>
      <c r="C49" s="157" t="s">
        <v>597</v>
      </c>
      <c r="D49" s="143" t="s">
        <v>15</v>
      </c>
      <c r="E49" s="143" t="s">
        <v>533</v>
      </c>
      <c r="F49" s="143" t="s">
        <v>534</v>
      </c>
      <c r="G49" s="143">
        <v>6</v>
      </c>
      <c r="H49" s="143" t="str">
        <f>"31"</f>
        <v>31</v>
      </c>
      <c r="I49" s="143" t="str">
        <f>"26"</f>
        <v>26</v>
      </c>
      <c r="J49" s="144">
        <v>0</v>
      </c>
      <c r="K49" s="143">
        <f t="shared" si="0"/>
        <v>0</v>
      </c>
      <c r="M49" t="s">
        <v>815</v>
      </c>
      <c r="N49" t="e">
        <f ca="1">DecToBin(SUM(K262:K265),9)</f>
        <v>#NAME?</v>
      </c>
    </row>
    <row r="50" spans="1:14" ht="15" thickBot="1" x14ac:dyDescent="0.4">
      <c r="A50" s="158"/>
      <c r="B50" s="155"/>
      <c r="C50" s="157"/>
      <c r="D50" s="143" t="s">
        <v>293</v>
      </c>
      <c r="E50" s="143" t="s">
        <v>583</v>
      </c>
      <c r="F50" s="143" t="s">
        <v>534</v>
      </c>
      <c r="G50" s="143">
        <v>1</v>
      </c>
      <c r="H50" s="143"/>
      <c r="I50" s="143" t="str">
        <f>"25"</f>
        <v>25</v>
      </c>
      <c r="J50" s="144">
        <v>0</v>
      </c>
      <c r="K50" s="143">
        <f t="shared" si="0"/>
        <v>0</v>
      </c>
      <c r="M50" t="s">
        <v>818</v>
      </c>
      <c r="N50" t="e">
        <f ca="1">DecToBin(SUM(K266:K267),26)</f>
        <v>#NAME?</v>
      </c>
    </row>
    <row r="51" spans="1:14" ht="15" thickBot="1" x14ac:dyDescent="0.4">
      <c r="A51" s="158"/>
      <c r="B51" s="155"/>
      <c r="C51" s="157"/>
      <c r="D51" s="143" t="s">
        <v>294</v>
      </c>
      <c r="E51" s="143" t="s">
        <v>584</v>
      </c>
      <c r="F51" s="143" t="s">
        <v>534</v>
      </c>
      <c r="G51" s="143">
        <v>1</v>
      </c>
      <c r="H51" s="143"/>
      <c r="I51" s="143" t="str">
        <f>"24"</f>
        <v>24</v>
      </c>
      <c r="J51" s="144">
        <v>0</v>
      </c>
      <c r="K51" s="143">
        <f t="shared" si="0"/>
        <v>0</v>
      </c>
      <c r="M51" t="s">
        <v>821</v>
      </c>
      <c r="N51" t="e">
        <f ca="1">DecToBin(SUM(K268:K269),26)</f>
        <v>#NAME?</v>
      </c>
    </row>
    <row r="52" spans="1:14" ht="15" thickBot="1" x14ac:dyDescent="0.4">
      <c r="A52" s="158"/>
      <c r="B52" s="155"/>
      <c r="C52" s="157"/>
      <c r="D52" s="143" t="s">
        <v>295</v>
      </c>
      <c r="E52" s="143" t="s">
        <v>585</v>
      </c>
      <c r="F52" s="143" t="s">
        <v>534</v>
      </c>
      <c r="G52" s="143">
        <v>1</v>
      </c>
      <c r="H52" s="143"/>
      <c r="I52" s="143" t="str">
        <f>"23"</f>
        <v>23</v>
      </c>
      <c r="J52" s="144">
        <v>0</v>
      </c>
      <c r="K52" s="143">
        <f t="shared" si="0"/>
        <v>0</v>
      </c>
      <c r="M52" t="s">
        <v>824</v>
      </c>
      <c r="N52" t="e">
        <f ca="1">DecToBin(SUM(K270:K271),26)</f>
        <v>#NAME?</v>
      </c>
    </row>
    <row r="53" spans="1:14" ht="15" thickBot="1" x14ac:dyDescent="0.4">
      <c r="A53" s="158"/>
      <c r="B53" s="155"/>
      <c r="C53" s="157"/>
      <c r="D53" s="143" t="s">
        <v>296</v>
      </c>
      <c r="E53" s="143" t="s">
        <v>586</v>
      </c>
      <c r="F53" s="143" t="s">
        <v>534</v>
      </c>
      <c r="G53" s="143">
        <v>1</v>
      </c>
      <c r="H53" s="143"/>
      <c r="I53" s="143" t="str">
        <f>"22"</f>
        <v>22</v>
      </c>
      <c r="J53" s="144">
        <v>0</v>
      </c>
      <c r="K53" s="143">
        <f t="shared" si="0"/>
        <v>0</v>
      </c>
      <c r="M53" t="s">
        <v>827</v>
      </c>
      <c r="N53" t="e">
        <f ca="1">DecToBin(SUM(K272:K273),26)</f>
        <v>#NAME?</v>
      </c>
    </row>
    <row r="54" spans="1:14" ht="15" thickBot="1" x14ac:dyDescent="0.4">
      <c r="A54" s="158"/>
      <c r="B54" s="155"/>
      <c r="C54" s="157"/>
      <c r="D54" s="143" t="s">
        <v>297</v>
      </c>
      <c r="E54" s="143" t="s">
        <v>587</v>
      </c>
      <c r="F54" s="143" t="s">
        <v>534</v>
      </c>
      <c r="G54" s="143">
        <v>1</v>
      </c>
      <c r="H54" s="143"/>
      <c r="I54" s="143" t="str">
        <f>"21"</f>
        <v>21</v>
      </c>
      <c r="J54" s="144">
        <v>0</v>
      </c>
      <c r="K54" s="143">
        <f t="shared" si="0"/>
        <v>0</v>
      </c>
      <c r="M54" t="s">
        <v>830</v>
      </c>
      <c r="N54" t="e">
        <f ca="1">DecToBin(SUM(K274:K275),26)</f>
        <v>#NAME?</v>
      </c>
    </row>
    <row r="55" spans="1:14" ht="15" thickBot="1" x14ac:dyDescent="0.4">
      <c r="A55" s="158"/>
      <c r="B55" s="155"/>
      <c r="C55" s="157"/>
      <c r="D55" s="143" t="s">
        <v>298</v>
      </c>
      <c r="E55" s="143" t="s">
        <v>588</v>
      </c>
      <c r="F55" s="143" t="s">
        <v>534</v>
      </c>
      <c r="G55" s="143">
        <v>1</v>
      </c>
      <c r="H55" s="143"/>
      <c r="I55" s="143" t="str">
        <f>"20"</f>
        <v>20</v>
      </c>
      <c r="J55" s="144">
        <v>0</v>
      </c>
      <c r="K55" s="143">
        <f t="shared" si="0"/>
        <v>0</v>
      </c>
      <c r="M55" t="s">
        <v>833</v>
      </c>
      <c r="N55" t="e">
        <f ca="1">DecToBin(SUM(K276:K277),26)</f>
        <v>#NAME?</v>
      </c>
    </row>
    <row r="56" spans="1:14" ht="15" thickBot="1" x14ac:dyDescent="0.4">
      <c r="A56" s="158"/>
      <c r="B56" s="155"/>
      <c r="C56" s="157"/>
      <c r="D56" s="143" t="s">
        <v>299</v>
      </c>
      <c r="E56" s="143" t="s">
        <v>589</v>
      </c>
      <c r="F56" s="143" t="s">
        <v>534</v>
      </c>
      <c r="G56" s="143">
        <v>1</v>
      </c>
      <c r="H56" s="143"/>
      <c r="I56" s="143" t="str">
        <f>"19"</f>
        <v>19</v>
      </c>
      <c r="J56" s="144">
        <v>0</v>
      </c>
      <c r="K56" s="143">
        <f t="shared" si="0"/>
        <v>0</v>
      </c>
      <c r="M56" t="s">
        <v>836</v>
      </c>
      <c r="N56" t="e">
        <f ca="1">DecToBin(SUM(K278:K279),26)</f>
        <v>#NAME?</v>
      </c>
    </row>
    <row r="57" spans="1:14" ht="15" thickBot="1" x14ac:dyDescent="0.4">
      <c r="A57" s="158"/>
      <c r="B57" s="155"/>
      <c r="C57" s="157"/>
      <c r="D57" s="143" t="s">
        <v>300</v>
      </c>
      <c r="E57" s="143" t="s">
        <v>590</v>
      </c>
      <c r="F57" s="143" t="s">
        <v>534</v>
      </c>
      <c r="G57" s="143">
        <v>5</v>
      </c>
      <c r="H57" s="143" t="str">
        <f>"18"</f>
        <v>18</v>
      </c>
      <c r="I57" s="143" t="str">
        <f>"14"</f>
        <v>14</v>
      </c>
      <c r="J57" s="144">
        <v>0</v>
      </c>
      <c r="K57" s="143">
        <f t="shared" si="0"/>
        <v>0</v>
      </c>
      <c r="M57" t="s">
        <v>839</v>
      </c>
      <c r="N57" t="e">
        <f ca="1">DecToBin(SUM(K280:K281),26)</f>
        <v>#NAME?</v>
      </c>
    </row>
    <row r="58" spans="1:14" ht="15" thickBot="1" x14ac:dyDescent="0.4">
      <c r="A58" s="158"/>
      <c r="B58" s="155"/>
      <c r="C58" s="157"/>
      <c r="D58" s="143" t="s">
        <v>301</v>
      </c>
      <c r="E58" s="143" t="s">
        <v>591</v>
      </c>
      <c r="F58" s="143" t="s">
        <v>534</v>
      </c>
      <c r="G58" s="143">
        <v>1</v>
      </c>
      <c r="H58" s="143"/>
      <c r="I58" s="143" t="str">
        <f>"13"</f>
        <v>13</v>
      </c>
      <c r="J58" s="144">
        <v>0</v>
      </c>
      <c r="K58" s="143">
        <f t="shared" si="0"/>
        <v>0</v>
      </c>
      <c r="M58" t="s">
        <v>848</v>
      </c>
      <c r="N58" t="e">
        <f ca="1">DecToBin(SUM(K282:K289),26)</f>
        <v>#NAME?</v>
      </c>
    </row>
    <row r="59" spans="1:14" ht="15" thickBot="1" x14ac:dyDescent="0.4">
      <c r="A59" s="158"/>
      <c r="B59" s="155"/>
      <c r="C59" s="157"/>
      <c r="D59" s="143" t="s">
        <v>302</v>
      </c>
      <c r="E59" s="143" t="s">
        <v>592</v>
      </c>
      <c r="F59" s="143" t="s">
        <v>534</v>
      </c>
      <c r="G59" s="143">
        <v>8</v>
      </c>
      <c r="H59" s="143" t="str">
        <f>"12"</f>
        <v>12</v>
      </c>
      <c r="I59" s="143" t="str">
        <f>"5"</f>
        <v>5</v>
      </c>
      <c r="J59" s="144">
        <v>0</v>
      </c>
      <c r="K59" s="143">
        <f t="shared" si="0"/>
        <v>0</v>
      </c>
      <c r="M59" t="s">
        <v>852</v>
      </c>
      <c r="N59" t="e">
        <f ca="1">DecToBin(SUM(K290:K292),26)</f>
        <v>#NAME?</v>
      </c>
    </row>
    <row r="60" spans="1:14" ht="15" thickBot="1" x14ac:dyDescent="0.4">
      <c r="A60" s="158"/>
      <c r="B60" s="155"/>
      <c r="C60" s="157"/>
      <c r="D60" s="143" t="s">
        <v>303</v>
      </c>
      <c r="E60" s="143" t="s">
        <v>593</v>
      </c>
      <c r="F60" s="143" t="s">
        <v>534</v>
      </c>
      <c r="G60" s="143">
        <v>1</v>
      </c>
      <c r="H60" s="143"/>
      <c r="I60" s="143" t="str">
        <f>"4"</f>
        <v>4</v>
      </c>
      <c r="J60" s="144">
        <v>0</v>
      </c>
      <c r="K60" s="143">
        <f t="shared" si="0"/>
        <v>0</v>
      </c>
      <c r="M60" t="s">
        <v>856</v>
      </c>
      <c r="N60" t="e">
        <f ca="1">DecToBin(SUM(K293:K295),25)</f>
        <v>#NAME?</v>
      </c>
    </row>
    <row r="61" spans="1:14" ht="15" thickBot="1" x14ac:dyDescent="0.4">
      <c r="A61" s="158"/>
      <c r="B61" s="155"/>
      <c r="C61" s="157"/>
      <c r="D61" s="143" t="s">
        <v>304</v>
      </c>
      <c r="E61" s="143" t="s">
        <v>594</v>
      </c>
      <c r="F61" s="143" t="s">
        <v>534</v>
      </c>
      <c r="G61" s="143">
        <v>2</v>
      </c>
      <c r="H61" s="143" t="str">
        <f>"3"</f>
        <v>3</v>
      </c>
      <c r="I61" s="143" t="str">
        <f>"2"</f>
        <v>2</v>
      </c>
      <c r="J61" s="144">
        <v>0</v>
      </c>
      <c r="K61" s="143">
        <f t="shared" si="0"/>
        <v>0</v>
      </c>
      <c r="M61" t="s">
        <v>866</v>
      </c>
      <c r="N61" t="e">
        <f ca="1">DecToBin(SUM(K296:K304),26)</f>
        <v>#NAME?</v>
      </c>
    </row>
    <row r="62" spans="1:14" ht="15" thickBot="1" x14ac:dyDescent="0.4">
      <c r="A62" s="158"/>
      <c r="B62" s="155"/>
      <c r="C62" s="157"/>
      <c r="D62" s="143" t="s">
        <v>305</v>
      </c>
      <c r="E62" s="143" t="s">
        <v>595</v>
      </c>
      <c r="F62" s="143" t="s">
        <v>534</v>
      </c>
      <c r="G62" s="143">
        <v>1</v>
      </c>
      <c r="H62" s="143"/>
      <c r="I62" s="143" t="str">
        <f>"1"</f>
        <v>1</v>
      </c>
      <c r="J62" s="144">
        <v>0</v>
      </c>
      <c r="K62" s="143">
        <f t="shared" si="0"/>
        <v>0</v>
      </c>
      <c r="M62" t="s">
        <v>868</v>
      </c>
      <c r="N62" t="e">
        <f ca="1">DecToBin(SUM(K305:K305),24)</f>
        <v>#NAME?</v>
      </c>
    </row>
    <row r="63" spans="1:14" ht="15" thickBot="1" x14ac:dyDescent="0.4">
      <c r="A63" s="158"/>
      <c r="B63" s="155"/>
      <c r="C63" s="157"/>
      <c r="D63" s="143" t="s">
        <v>306</v>
      </c>
      <c r="E63" s="143" t="s">
        <v>596</v>
      </c>
      <c r="F63" s="143" t="s">
        <v>534</v>
      </c>
      <c r="G63" s="143">
        <v>1</v>
      </c>
      <c r="H63" s="143"/>
      <c r="I63" s="143" t="str">
        <f>"0"</f>
        <v>0</v>
      </c>
      <c r="J63" s="144">
        <v>0</v>
      </c>
      <c r="K63" s="143">
        <f t="shared" si="0"/>
        <v>0</v>
      </c>
      <c r="M63" t="s">
        <v>890</v>
      </c>
      <c r="N63" t="e">
        <f ca="1">DecToBin(SUM(K306:K325),32)</f>
        <v>#NAME?</v>
      </c>
    </row>
    <row r="64" spans="1:14" ht="15" thickBot="1" x14ac:dyDescent="0.4">
      <c r="A64" s="158"/>
      <c r="B64" s="155" t="s">
        <v>307</v>
      </c>
      <c r="C64" s="156" t="s">
        <v>603</v>
      </c>
      <c r="D64" s="145" t="s">
        <v>20</v>
      </c>
      <c r="E64" s="145" t="s">
        <v>533</v>
      </c>
      <c r="F64" s="145" t="s">
        <v>534</v>
      </c>
      <c r="G64" s="145">
        <v>6</v>
      </c>
      <c r="H64" s="145" t="str">
        <f>"31"</f>
        <v>31</v>
      </c>
      <c r="I64" s="145" t="str">
        <f>"26"</f>
        <v>26</v>
      </c>
      <c r="J64" s="144">
        <v>0</v>
      </c>
      <c r="K64" s="145">
        <f t="shared" si="0"/>
        <v>0</v>
      </c>
      <c r="M64" t="s">
        <v>900</v>
      </c>
      <c r="N64" t="e">
        <f ca="1">DecToBin(SUM(K326:K332),20)</f>
        <v>#NAME?</v>
      </c>
    </row>
    <row r="65" spans="1:14" ht="15" thickBot="1" x14ac:dyDescent="0.4">
      <c r="A65" s="158"/>
      <c r="B65" s="155"/>
      <c r="C65" s="156"/>
      <c r="D65" s="145" t="s">
        <v>598</v>
      </c>
      <c r="E65" s="145" t="s">
        <v>552</v>
      </c>
      <c r="F65" s="145" t="s">
        <v>534</v>
      </c>
      <c r="G65" s="145">
        <v>4</v>
      </c>
      <c r="H65" s="145" t="str">
        <f>"25"</f>
        <v>25</v>
      </c>
      <c r="I65" s="145" t="str">
        <f>"22"</f>
        <v>22</v>
      </c>
      <c r="J65" s="144">
        <v>0</v>
      </c>
      <c r="K65" s="145">
        <f t="shared" si="0"/>
        <v>0</v>
      </c>
      <c r="M65" t="s">
        <v>902</v>
      </c>
      <c r="N65" t="e">
        <f ca="1">DecToBin(SUM(K333:K333),26)</f>
        <v>#NAME?</v>
      </c>
    </row>
    <row r="66" spans="1:14" ht="15" thickBot="1" x14ac:dyDescent="0.4">
      <c r="A66" s="158"/>
      <c r="B66" s="155"/>
      <c r="C66" s="156"/>
      <c r="D66" s="145" t="s">
        <v>19</v>
      </c>
      <c r="E66" s="145" t="s">
        <v>599</v>
      </c>
      <c r="F66" s="145" t="s">
        <v>534</v>
      </c>
      <c r="G66" s="145">
        <v>1</v>
      </c>
      <c r="H66" s="145"/>
      <c r="I66" s="145" t="str">
        <f>"21"</f>
        <v>21</v>
      </c>
      <c r="J66" s="144">
        <v>0</v>
      </c>
      <c r="K66" s="145">
        <f t="shared" si="0"/>
        <v>0</v>
      </c>
      <c r="M66" t="s">
        <v>911</v>
      </c>
      <c r="N66" t="e">
        <f ca="1">DecToBin(SUM(K334:K341),13)</f>
        <v>#NAME?</v>
      </c>
    </row>
    <row r="67" spans="1:14" ht="15" thickBot="1" x14ac:dyDescent="0.4">
      <c r="A67" s="158"/>
      <c r="B67" s="155"/>
      <c r="C67" s="156"/>
      <c r="D67" s="145" t="s">
        <v>308</v>
      </c>
      <c r="E67" s="145" t="s">
        <v>600</v>
      </c>
      <c r="F67" s="145" t="s">
        <v>534</v>
      </c>
      <c r="G67" s="145">
        <v>1</v>
      </c>
      <c r="H67" s="145"/>
      <c r="I67" s="145" t="str">
        <f>"20"</f>
        <v>20</v>
      </c>
      <c r="J67" s="144">
        <v>0</v>
      </c>
      <c r="K67" s="145">
        <f t="shared" ref="K67:K130" si="1">J67 * POWER( 2, I67)</f>
        <v>0</v>
      </c>
      <c r="M67" t="s">
        <v>915</v>
      </c>
      <c r="N67" t="e">
        <f ca="1">DecToBin(SUM(K342:K344),5)</f>
        <v>#NAME?</v>
      </c>
    </row>
    <row r="68" spans="1:14" ht="15" thickBot="1" x14ac:dyDescent="0.4">
      <c r="A68" s="158"/>
      <c r="B68" s="155"/>
      <c r="C68" s="156"/>
      <c r="D68" s="145" t="s">
        <v>309</v>
      </c>
      <c r="E68" s="145" t="s">
        <v>601</v>
      </c>
      <c r="F68" s="145" t="s">
        <v>534</v>
      </c>
      <c r="G68" s="145">
        <v>10</v>
      </c>
      <c r="H68" s="145" t="str">
        <f>"19"</f>
        <v>19</v>
      </c>
      <c r="I68" s="145" t="str">
        <f>"10"</f>
        <v>10</v>
      </c>
      <c r="J68" s="144">
        <v>0</v>
      </c>
      <c r="K68" s="145">
        <f t="shared" si="1"/>
        <v>0</v>
      </c>
      <c r="M68" t="s">
        <v>927</v>
      </c>
      <c r="N68" t="e">
        <f ca="1">DecToBin(SUM(K345:K354),32)</f>
        <v>#NAME?</v>
      </c>
    </row>
    <row r="69" spans="1:14" ht="15" thickBot="1" x14ac:dyDescent="0.4">
      <c r="A69" s="158"/>
      <c r="B69" s="155"/>
      <c r="C69" s="156"/>
      <c r="D69" s="145" t="s">
        <v>310</v>
      </c>
      <c r="E69" s="145" t="s">
        <v>602</v>
      </c>
      <c r="F69" s="145" t="s">
        <v>534</v>
      </c>
      <c r="G69" s="145">
        <v>10</v>
      </c>
      <c r="H69" s="145" t="str">
        <f>"9"</f>
        <v>9</v>
      </c>
      <c r="I69" s="145" t="str">
        <f>"0"</f>
        <v>0</v>
      </c>
      <c r="J69" s="144">
        <v>0</v>
      </c>
      <c r="K69" s="145">
        <f t="shared" si="1"/>
        <v>0</v>
      </c>
      <c r="M69" t="s">
        <v>939</v>
      </c>
      <c r="N69" t="e">
        <f ca="1">DecToBin(SUM(K355:K365),32)</f>
        <v>#NAME?</v>
      </c>
    </row>
    <row r="70" spans="1:14" ht="15" thickBot="1" x14ac:dyDescent="0.4">
      <c r="A70" s="158"/>
      <c r="B70" s="155" t="s">
        <v>311</v>
      </c>
      <c r="C70" s="157" t="s">
        <v>607</v>
      </c>
      <c r="D70" s="143" t="s">
        <v>21</v>
      </c>
      <c r="E70" s="143" t="s">
        <v>533</v>
      </c>
      <c r="F70" s="143" t="s">
        <v>534</v>
      </c>
      <c r="G70" s="143">
        <v>6</v>
      </c>
      <c r="H70" s="143" t="str">
        <f>"31"</f>
        <v>31</v>
      </c>
      <c r="I70" s="143" t="str">
        <f>"26"</f>
        <v>26</v>
      </c>
      <c r="J70" s="144">
        <v>0</v>
      </c>
      <c r="K70" s="143">
        <f t="shared" si="1"/>
        <v>0</v>
      </c>
      <c r="M70" t="s">
        <v>941</v>
      </c>
      <c r="N70" t="e">
        <f ca="1">DecToBin(SUM(K366:K366),30)</f>
        <v>#NAME?</v>
      </c>
    </row>
    <row r="71" spans="1:14" ht="44" thickBot="1" x14ac:dyDescent="0.4">
      <c r="A71" s="158"/>
      <c r="B71" s="155"/>
      <c r="C71" s="157"/>
      <c r="D71" s="143" t="s">
        <v>312</v>
      </c>
      <c r="E71" s="146" t="s">
        <v>604</v>
      </c>
      <c r="F71" s="143" t="s">
        <v>534</v>
      </c>
      <c r="G71" s="143">
        <v>6</v>
      </c>
      <c r="H71" s="143" t="str">
        <f>"25"</f>
        <v>25</v>
      </c>
      <c r="I71" s="143" t="str">
        <f>"20"</f>
        <v>20</v>
      </c>
      <c r="J71" s="144">
        <v>0</v>
      </c>
      <c r="K71" s="143">
        <f t="shared" si="1"/>
        <v>0</v>
      </c>
      <c r="M71" t="s">
        <v>950</v>
      </c>
      <c r="N71" t="e">
        <f ca="1">DecToBin(SUM(K367:K374),11)</f>
        <v>#NAME?</v>
      </c>
    </row>
    <row r="72" spans="1:14" ht="15" thickBot="1" x14ac:dyDescent="0.4">
      <c r="A72" s="158"/>
      <c r="B72" s="155"/>
      <c r="C72" s="157"/>
      <c r="D72" s="143" t="s">
        <v>313</v>
      </c>
      <c r="E72" s="143" t="s">
        <v>605</v>
      </c>
      <c r="F72" s="143" t="s">
        <v>534</v>
      </c>
      <c r="G72" s="143">
        <v>10</v>
      </c>
      <c r="H72" s="143" t="str">
        <f>"19"</f>
        <v>19</v>
      </c>
      <c r="I72" s="143" t="str">
        <f>"10"</f>
        <v>10</v>
      </c>
      <c r="J72" s="144">
        <v>0</v>
      </c>
      <c r="K72" s="143">
        <f t="shared" si="1"/>
        <v>0</v>
      </c>
      <c r="M72" t="s">
        <v>959</v>
      </c>
      <c r="N72" t="e">
        <f ca="1">DecToBin(SUM(K375:K382),14)</f>
        <v>#NAME?</v>
      </c>
    </row>
    <row r="73" spans="1:14" ht="15" thickBot="1" x14ac:dyDescent="0.4">
      <c r="A73" s="158"/>
      <c r="B73" s="155"/>
      <c r="C73" s="157"/>
      <c r="D73" s="143" t="s">
        <v>314</v>
      </c>
      <c r="E73" s="143" t="s">
        <v>606</v>
      </c>
      <c r="F73" s="143" t="s">
        <v>534</v>
      </c>
      <c r="G73" s="143">
        <v>10</v>
      </c>
      <c r="H73" s="143" t="str">
        <f>"9"</f>
        <v>9</v>
      </c>
      <c r="I73" s="143" t="str">
        <f>"0"</f>
        <v>0</v>
      </c>
      <c r="J73" s="144">
        <v>0</v>
      </c>
      <c r="K73" s="143">
        <f t="shared" si="1"/>
        <v>0</v>
      </c>
      <c r="M73" t="s">
        <v>962</v>
      </c>
      <c r="N73" t="e">
        <f ca="1">DecToBin(SUM(K383:K384),9)</f>
        <v>#NAME?</v>
      </c>
    </row>
    <row r="74" spans="1:14" ht="15" thickBot="1" x14ac:dyDescent="0.4">
      <c r="A74" s="158"/>
      <c r="B74" s="155" t="s">
        <v>315</v>
      </c>
      <c r="C74" s="156" t="s">
        <v>611</v>
      </c>
      <c r="D74" s="145" t="s">
        <v>22</v>
      </c>
      <c r="E74" s="145" t="s">
        <v>533</v>
      </c>
      <c r="F74" s="145" t="s">
        <v>534</v>
      </c>
      <c r="G74" s="145">
        <v>6</v>
      </c>
      <c r="H74" s="145" t="str">
        <f>"31"</f>
        <v>31</v>
      </c>
      <c r="I74" s="145" t="str">
        <f>"26"</f>
        <v>26</v>
      </c>
      <c r="J74" s="144">
        <v>0</v>
      </c>
      <c r="K74" s="145">
        <f t="shared" si="1"/>
        <v>0</v>
      </c>
      <c r="M74" t="s">
        <v>964</v>
      </c>
      <c r="N74" t="e">
        <f ca="1">DecToBin(SUM(K385:K385),19)</f>
        <v>#NAME?</v>
      </c>
    </row>
    <row r="75" spans="1:14" ht="15" thickBot="1" x14ac:dyDescent="0.4">
      <c r="A75" s="158"/>
      <c r="B75" s="155"/>
      <c r="C75" s="156"/>
      <c r="D75" s="145" t="s">
        <v>608</v>
      </c>
      <c r="E75" s="145" t="s">
        <v>552</v>
      </c>
      <c r="F75" s="145" t="s">
        <v>534</v>
      </c>
      <c r="G75" s="145">
        <v>8</v>
      </c>
      <c r="H75" s="145" t="str">
        <f>"25"</f>
        <v>25</v>
      </c>
      <c r="I75" s="145" t="str">
        <f>"18"</f>
        <v>18</v>
      </c>
      <c r="J75" s="144">
        <v>0</v>
      </c>
      <c r="K75" s="145">
        <f t="shared" si="1"/>
        <v>0</v>
      </c>
      <c r="M75" t="s">
        <v>967</v>
      </c>
      <c r="N75" t="e">
        <f ca="1">DecToBin(SUM(K386:K387),32)</f>
        <v>#NAME?</v>
      </c>
    </row>
    <row r="76" spans="1:14" ht="15" thickBot="1" x14ac:dyDescent="0.4">
      <c r="A76" s="158"/>
      <c r="B76" s="155"/>
      <c r="C76" s="156"/>
      <c r="D76" s="145" t="s">
        <v>316</v>
      </c>
      <c r="E76" s="145" t="s">
        <v>609</v>
      </c>
      <c r="F76" s="145" t="s">
        <v>534</v>
      </c>
      <c r="G76" s="145">
        <v>9</v>
      </c>
      <c r="H76" s="145" t="str">
        <f>"17"</f>
        <v>17</v>
      </c>
      <c r="I76" s="145" t="str">
        <f>"9"</f>
        <v>9</v>
      </c>
      <c r="J76" s="144">
        <v>0</v>
      </c>
      <c r="K76" s="145">
        <f t="shared" si="1"/>
        <v>0</v>
      </c>
      <c r="M76" t="s">
        <v>970</v>
      </c>
      <c r="N76" t="e">
        <f ca="1">DecToBin(SUM(K388:K389),32)</f>
        <v>#NAME?</v>
      </c>
    </row>
    <row r="77" spans="1:14" ht="15" thickBot="1" x14ac:dyDescent="0.4">
      <c r="A77" s="158"/>
      <c r="B77" s="155"/>
      <c r="C77" s="156"/>
      <c r="D77" s="145" t="s">
        <v>317</v>
      </c>
      <c r="E77" s="145" t="s">
        <v>610</v>
      </c>
      <c r="F77" s="145" t="s">
        <v>534</v>
      </c>
      <c r="G77" s="145">
        <v>9</v>
      </c>
      <c r="H77" s="145" t="str">
        <f>"8"</f>
        <v>8</v>
      </c>
      <c r="I77" s="145" t="str">
        <f>"0"</f>
        <v>0</v>
      </c>
      <c r="J77" s="144">
        <v>0</v>
      </c>
      <c r="K77" s="145">
        <f t="shared" si="1"/>
        <v>0</v>
      </c>
      <c r="M77" t="s">
        <v>973</v>
      </c>
      <c r="N77" t="e">
        <f ca="1">DecToBin(SUM(K390:K391),32)</f>
        <v>#NAME?</v>
      </c>
    </row>
    <row r="78" spans="1:14" ht="15" thickBot="1" x14ac:dyDescent="0.4">
      <c r="A78" s="158"/>
      <c r="B78" s="155" t="s">
        <v>318</v>
      </c>
      <c r="C78" s="157" t="s">
        <v>616</v>
      </c>
      <c r="D78" s="143" t="s">
        <v>23</v>
      </c>
      <c r="E78" s="143" t="s">
        <v>533</v>
      </c>
      <c r="F78" s="143" t="s">
        <v>534</v>
      </c>
      <c r="G78" s="143">
        <v>6</v>
      </c>
      <c r="H78" s="143" t="str">
        <f>"31"</f>
        <v>31</v>
      </c>
      <c r="I78" s="143" t="str">
        <f>"26"</f>
        <v>26</v>
      </c>
      <c r="J78" s="144">
        <v>0</v>
      </c>
      <c r="K78" s="143">
        <f t="shared" si="1"/>
        <v>0</v>
      </c>
      <c r="M78" t="s">
        <v>976</v>
      </c>
      <c r="N78" t="e">
        <f ca="1">DecToBin(SUM(K392:K393),32)</f>
        <v>#NAME?</v>
      </c>
    </row>
    <row r="79" spans="1:14" ht="15" thickBot="1" x14ac:dyDescent="0.4">
      <c r="A79" s="158"/>
      <c r="B79" s="155"/>
      <c r="C79" s="157"/>
      <c r="D79" s="143" t="s">
        <v>612</v>
      </c>
      <c r="E79" s="143" t="s">
        <v>552</v>
      </c>
      <c r="F79" s="143" t="s">
        <v>534</v>
      </c>
      <c r="G79" s="143">
        <v>1</v>
      </c>
      <c r="H79" s="143"/>
      <c r="I79" s="143" t="str">
        <f>"25"</f>
        <v>25</v>
      </c>
      <c r="J79" s="144">
        <v>0</v>
      </c>
      <c r="K79" s="143">
        <f t="shared" si="1"/>
        <v>0</v>
      </c>
      <c r="M79" t="s">
        <v>979</v>
      </c>
      <c r="N79" t="e">
        <f ca="1">DecToBin(SUM(K394:K395),16)</f>
        <v>#NAME?</v>
      </c>
    </row>
    <row r="80" spans="1:14" ht="44" thickBot="1" x14ac:dyDescent="0.4">
      <c r="A80" s="158"/>
      <c r="B80" s="155"/>
      <c r="C80" s="157"/>
      <c r="D80" s="143" t="s">
        <v>319</v>
      </c>
      <c r="E80" s="146" t="s">
        <v>613</v>
      </c>
      <c r="F80" s="143" t="s">
        <v>534</v>
      </c>
      <c r="G80" s="143">
        <v>7</v>
      </c>
      <c r="H80" s="143" t="str">
        <f>"24"</f>
        <v>24</v>
      </c>
      <c r="I80" s="143" t="str">
        <f>"18"</f>
        <v>18</v>
      </c>
      <c r="J80" s="144">
        <v>0</v>
      </c>
      <c r="K80" s="143">
        <f t="shared" si="1"/>
        <v>0</v>
      </c>
      <c r="M80" t="s">
        <v>982</v>
      </c>
      <c r="N80" t="e">
        <f ca="1">DecToBin(SUM(K396:K397),19)</f>
        <v>#NAME?</v>
      </c>
    </row>
    <row r="81" spans="1:14" ht="15" thickBot="1" x14ac:dyDescent="0.4">
      <c r="A81" s="158"/>
      <c r="B81" s="155"/>
      <c r="C81" s="157"/>
      <c r="D81" s="143" t="s">
        <v>320</v>
      </c>
      <c r="E81" s="143" t="s">
        <v>614</v>
      </c>
      <c r="F81" s="143" t="s">
        <v>534</v>
      </c>
      <c r="G81" s="143">
        <v>9</v>
      </c>
      <c r="H81" s="143" t="str">
        <f>"17"</f>
        <v>17</v>
      </c>
      <c r="I81" s="143" t="str">
        <f>"9"</f>
        <v>9</v>
      </c>
      <c r="J81" s="144">
        <v>0</v>
      </c>
      <c r="K81" s="143">
        <f t="shared" si="1"/>
        <v>0</v>
      </c>
      <c r="M81" t="s">
        <v>985</v>
      </c>
      <c r="N81" t="e">
        <f ca="1">DecToBin(SUM(K398:K399),32)</f>
        <v>#NAME?</v>
      </c>
    </row>
    <row r="82" spans="1:14" ht="15" thickBot="1" x14ac:dyDescent="0.4">
      <c r="A82" s="158"/>
      <c r="B82" s="155"/>
      <c r="C82" s="157"/>
      <c r="D82" s="143" t="s">
        <v>321</v>
      </c>
      <c r="E82" s="143" t="s">
        <v>615</v>
      </c>
      <c r="F82" s="143" t="s">
        <v>534</v>
      </c>
      <c r="G82" s="143">
        <v>9</v>
      </c>
      <c r="H82" s="143" t="str">
        <f>"8"</f>
        <v>8</v>
      </c>
      <c r="I82" s="143" t="str">
        <f>"0"</f>
        <v>0</v>
      </c>
      <c r="J82" s="144">
        <v>0</v>
      </c>
      <c r="K82" s="143">
        <f t="shared" si="1"/>
        <v>0</v>
      </c>
      <c r="M82" t="s">
        <v>988</v>
      </c>
      <c r="N82" t="e">
        <f ca="1">DecToBin(SUM(K400:K401),32)</f>
        <v>#NAME?</v>
      </c>
    </row>
    <row r="83" spans="1:14" ht="15" thickBot="1" x14ac:dyDescent="0.4">
      <c r="A83" s="158"/>
      <c r="B83" s="155" t="s">
        <v>322</v>
      </c>
      <c r="C83" s="156" t="s">
        <v>619</v>
      </c>
      <c r="D83" s="145" t="s">
        <v>24</v>
      </c>
      <c r="E83" s="145" t="s">
        <v>533</v>
      </c>
      <c r="F83" s="145" t="s">
        <v>534</v>
      </c>
      <c r="G83" s="145">
        <v>6</v>
      </c>
      <c r="H83" s="145" t="str">
        <f>"31"</f>
        <v>31</v>
      </c>
      <c r="I83" s="145" t="str">
        <f>"26"</f>
        <v>26</v>
      </c>
      <c r="J83" s="144">
        <v>0</v>
      </c>
      <c r="K83" s="145">
        <f t="shared" si="1"/>
        <v>0</v>
      </c>
      <c r="M83" t="s">
        <v>991</v>
      </c>
      <c r="N83" t="e">
        <f ca="1">DecToBin(SUM(K402:K403),32)</f>
        <v>#NAME?</v>
      </c>
    </row>
    <row r="84" spans="1:14" ht="15" thickBot="1" x14ac:dyDescent="0.4">
      <c r="A84" s="158"/>
      <c r="B84" s="155"/>
      <c r="C84" s="156"/>
      <c r="D84" s="145" t="s">
        <v>323</v>
      </c>
      <c r="E84" s="145" t="s">
        <v>617</v>
      </c>
      <c r="F84" s="145" t="s">
        <v>534</v>
      </c>
      <c r="G84" s="145">
        <v>10</v>
      </c>
      <c r="H84" s="145" t="str">
        <f>"25"</f>
        <v>25</v>
      </c>
      <c r="I84" s="145" t="str">
        <f>"16"</f>
        <v>16</v>
      </c>
      <c r="J84" s="144">
        <v>0</v>
      </c>
      <c r="K84" s="145">
        <f t="shared" si="1"/>
        <v>0</v>
      </c>
      <c r="M84" t="s">
        <v>994</v>
      </c>
      <c r="N84" t="e">
        <f ca="1">DecToBin(SUM(K404:K405),32)</f>
        <v>#NAME?</v>
      </c>
    </row>
    <row r="85" spans="1:14" ht="15" thickBot="1" x14ac:dyDescent="0.4">
      <c r="A85" s="158"/>
      <c r="B85" s="155"/>
      <c r="C85" s="156"/>
      <c r="D85" s="145" t="s">
        <v>324</v>
      </c>
      <c r="E85" s="145" t="s">
        <v>617</v>
      </c>
      <c r="F85" s="145" t="s">
        <v>534</v>
      </c>
      <c r="G85" s="145">
        <v>10</v>
      </c>
      <c r="H85" s="145" t="str">
        <f>"15"</f>
        <v>15</v>
      </c>
      <c r="I85" s="145" t="str">
        <f>"6"</f>
        <v>6</v>
      </c>
      <c r="J85" s="144">
        <v>0</v>
      </c>
      <c r="K85" s="145">
        <f t="shared" si="1"/>
        <v>0</v>
      </c>
      <c r="M85" t="s">
        <v>997</v>
      </c>
      <c r="N85" t="e">
        <f ca="1">DecToBin(SUM(K406:K407),32)</f>
        <v>#NAME?</v>
      </c>
    </row>
    <row r="86" spans="1:14" ht="15" thickBot="1" x14ac:dyDescent="0.4">
      <c r="A86" s="158"/>
      <c r="B86" s="155"/>
      <c r="C86" s="156"/>
      <c r="D86" s="145" t="s">
        <v>325</v>
      </c>
      <c r="E86" s="145" t="s">
        <v>618</v>
      </c>
      <c r="F86" s="145" t="s">
        <v>534</v>
      </c>
      <c r="G86" s="145">
        <v>6</v>
      </c>
      <c r="H86" s="145" t="str">
        <f>"5"</f>
        <v>5</v>
      </c>
      <c r="I86" s="145" t="str">
        <f>"0"</f>
        <v>0</v>
      </c>
      <c r="J86" s="144">
        <v>0</v>
      </c>
      <c r="K86" s="145">
        <f t="shared" si="1"/>
        <v>0</v>
      </c>
      <c r="M86" t="s">
        <v>1000</v>
      </c>
      <c r="N86" t="e">
        <f ca="1">DecToBin(SUM(K408:K409),17)</f>
        <v>#NAME?</v>
      </c>
    </row>
    <row r="87" spans="1:14" ht="15" thickBot="1" x14ac:dyDescent="0.4">
      <c r="A87" s="158"/>
      <c r="B87" s="155" t="s">
        <v>326</v>
      </c>
      <c r="C87" s="157" t="s">
        <v>623</v>
      </c>
      <c r="D87" s="143" t="s">
        <v>25</v>
      </c>
      <c r="E87" s="143" t="s">
        <v>533</v>
      </c>
      <c r="F87" s="143" t="s">
        <v>534</v>
      </c>
      <c r="G87" s="143">
        <v>6</v>
      </c>
      <c r="H87" s="143" t="str">
        <f>"31"</f>
        <v>31</v>
      </c>
      <c r="I87" s="143" t="str">
        <f>"26"</f>
        <v>26</v>
      </c>
      <c r="J87" s="144">
        <v>0</v>
      </c>
      <c r="K87" s="143">
        <f t="shared" si="1"/>
        <v>0</v>
      </c>
      <c r="M87" t="s">
        <v>1003</v>
      </c>
      <c r="N87" t="e">
        <f ca="1">DecToBin(SUM(K410:K411),32)</f>
        <v>#NAME?</v>
      </c>
    </row>
    <row r="88" spans="1:14" ht="15" thickBot="1" x14ac:dyDescent="0.4">
      <c r="A88" s="158"/>
      <c r="B88" s="155"/>
      <c r="C88" s="157"/>
      <c r="D88" s="143" t="s">
        <v>327</v>
      </c>
      <c r="E88" s="143" t="s">
        <v>620</v>
      </c>
      <c r="F88" s="143" t="s">
        <v>534</v>
      </c>
      <c r="G88" s="143">
        <v>1</v>
      </c>
      <c r="H88" s="143"/>
      <c r="I88" s="143" t="str">
        <f>"25"</f>
        <v>25</v>
      </c>
      <c r="J88" s="144">
        <v>0</v>
      </c>
      <c r="K88" s="143">
        <f t="shared" si="1"/>
        <v>0</v>
      </c>
      <c r="M88" t="s">
        <v>1005</v>
      </c>
      <c r="N88" t="e">
        <f ca="1">DecToBin(SUM(K412:K412),32)</f>
        <v>#NAME?</v>
      </c>
    </row>
    <row r="89" spans="1:14" ht="15" thickBot="1" x14ac:dyDescent="0.4">
      <c r="A89" s="158"/>
      <c r="B89" s="155"/>
      <c r="C89" s="157"/>
      <c r="D89" s="143" t="s">
        <v>328</v>
      </c>
      <c r="E89" s="143" t="s">
        <v>621</v>
      </c>
      <c r="F89" s="143" t="s">
        <v>534</v>
      </c>
      <c r="G89" s="143">
        <v>11</v>
      </c>
      <c r="H89" s="143" t="str">
        <f>"24"</f>
        <v>24</v>
      </c>
      <c r="I89" s="143" t="str">
        <f>"14"</f>
        <v>14</v>
      </c>
      <c r="J89" s="144">
        <v>0</v>
      </c>
      <c r="K89" s="143">
        <f t="shared" si="1"/>
        <v>0</v>
      </c>
      <c r="M89" t="s">
        <v>1007</v>
      </c>
      <c r="N89" t="e">
        <f ca="1">DecToBin(SUM(K413:K413),18)</f>
        <v>#NAME?</v>
      </c>
    </row>
    <row r="90" spans="1:14" ht="15" thickBot="1" x14ac:dyDescent="0.4">
      <c r="A90" s="158"/>
      <c r="B90" s="155"/>
      <c r="C90" s="157"/>
      <c r="D90" s="143" t="s">
        <v>329</v>
      </c>
      <c r="E90" s="143" t="s">
        <v>622</v>
      </c>
      <c r="F90" s="143" t="s">
        <v>534</v>
      </c>
      <c r="G90" s="143">
        <v>14</v>
      </c>
      <c r="H90" s="143" t="str">
        <f>"13"</f>
        <v>13</v>
      </c>
      <c r="I90" s="143" t="str">
        <f>"0"</f>
        <v>0</v>
      </c>
      <c r="J90" s="144">
        <v>0</v>
      </c>
      <c r="K90" s="143">
        <f t="shared" si="1"/>
        <v>0</v>
      </c>
      <c r="M90" t="s">
        <v>1010</v>
      </c>
      <c r="N90" t="e">
        <f ca="1">DecToBin(SUM(K414:K415),32)</f>
        <v>#NAME?</v>
      </c>
    </row>
    <row r="91" spans="1:14" ht="15" thickBot="1" x14ac:dyDescent="0.4">
      <c r="A91" s="158"/>
      <c r="B91" s="155" t="s">
        <v>330</v>
      </c>
      <c r="C91" s="156" t="s">
        <v>629</v>
      </c>
      <c r="D91" s="145" t="s">
        <v>26</v>
      </c>
      <c r="E91" s="145" t="s">
        <v>533</v>
      </c>
      <c r="F91" s="145" t="s">
        <v>534</v>
      </c>
      <c r="G91" s="145">
        <v>6</v>
      </c>
      <c r="H91" s="145" t="str">
        <f>"31"</f>
        <v>31</v>
      </c>
      <c r="I91" s="145" t="str">
        <f>"26"</f>
        <v>26</v>
      </c>
      <c r="J91" s="144">
        <v>0</v>
      </c>
      <c r="K91" s="145">
        <f t="shared" si="1"/>
        <v>0</v>
      </c>
      <c r="M91" t="s">
        <v>1012</v>
      </c>
      <c r="N91" t="e">
        <f ca="1">DecToBin(SUM(K416:K416),30)</f>
        <v>#NAME?</v>
      </c>
    </row>
    <row r="92" spans="1:14" ht="15" thickBot="1" x14ac:dyDescent="0.4">
      <c r="A92" s="158"/>
      <c r="B92" s="155"/>
      <c r="C92" s="156"/>
      <c r="D92" s="145" t="s">
        <v>624</v>
      </c>
      <c r="E92" s="145" t="s">
        <v>552</v>
      </c>
      <c r="F92" s="145" t="s">
        <v>534</v>
      </c>
      <c r="G92" s="145">
        <v>2</v>
      </c>
      <c r="H92" s="145" t="str">
        <f>"25"</f>
        <v>25</v>
      </c>
      <c r="I92" s="145" t="str">
        <f>"24"</f>
        <v>24</v>
      </c>
      <c r="J92" s="144">
        <v>0</v>
      </c>
      <c r="K92" s="145">
        <f t="shared" si="1"/>
        <v>0</v>
      </c>
      <c r="M92" t="s">
        <v>1015</v>
      </c>
      <c r="N92" t="e">
        <f ca="1">DecToBin(SUM(K417:K418),32)</f>
        <v>#NAME?</v>
      </c>
    </row>
    <row r="93" spans="1:14" ht="15" thickBot="1" x14ac:dyDescent="0.4">
      <c r="A93" s="158"/>
      <c r="B93" s="155"/>
      <c r="C93" s="156"/>
      <c r="D93" s="145" t="s">
        <v>331</v>
      </c>
      <c r="E93" s="145" t="s">
        <v>625</v>
      </c>
      <c r="F93" s="145" t="s">
        <v>534</v>
      </c>
      <c r="G93" s="145">
        <v>6</v>
      </c>
      <c r="H93" s="145" t="str">
        <f>"23"</f>
        <v>23</v>
      </c>
      <c r="I93" s="145" t="str">
        <f>"18"</f>
        <v>18</v>
      </c>
      <c r="J93" s="144">
        <v>0</v>
      </c>
      <c r="K93" s="145">
        <f t="shared" si="1"/>
        <v>0</v>
      </c>
      <c r="M93" t="s">
        <v>1017</v>
      </c>
      <c r="N93" t="e">
        <f ca="1">DecToBin(SUM(K419:K419),32)</f>
        <v>#NAME?</v>
      </c>
    </row>
    <row r="94" spans="1:14" ht="15" thickBot="1" x14ac:dyDescent="0.4">
      <c r="A94" s="158"/>
      <c r="B94" s="155"/>
      <c r="C94" s="156"/>
      <c r="D94" s="145" t="s">
        <v>332</v>
      </c>
      <c r="E94" s="145" t="s">
        <v>626</v>
      </c>
      <c r="F94" s="145" t="s">
        <v>534</v>
      </c>
      <c r="G94" s="145">
        <v>6</v>
      </c>
      <c r="H94" s="145" t="str">
        <f>"17"</f>
        <v>17</v>
      </c>
      <c r="I94" s="145" t="str">
        <f>"12"</f>
        <v>12</v>
      </c>
      <c r="J94" s="144">
        <v>0</v>
      </c>
      <c r="K94" s="145">
        <f t="shared" si="1"/>
        <v>0</v>
      </c>
      <c r="M94" t="s">
        <v>1019</v>
      </c>
      <c r="N94" t="e">
        <f ca="1">DecToBin(SUM(K420:K420),32)</f>
        <v>#NAME?</v>
      </c>
    </row>
    <row r="95" spans="1:14" ht="15" thickBot="1" x14ac:dyDescent="0.4">
      <c r="A95" s="158"/>
      <c r="B95" s="155"/>
      <c r="C95" s="156"/>
      <c r="D95" s="145" t="s">
        <v>333</v>
      </c>
      <c r="E95" s="145" t="s">
        <v>627</v>
      </c>
      <c r="F95" s="145" t="s">
        <v>534</v>
      </c>
      <c r="G95" s="145">
        <v>6</v>
      </c>
      <c r="H95" s="145" t="str">
        <f>"11"</f>
        <v>11</v>
      </c>
      <c r="I95" s="145" t="str">
        <f>"6"</f>
        <v>6</v>
      </c>
      <c r="J95" s="144">
        <v>0</v>
      </c>
      <c r="K95" s="145">
        <f t="shared" si="1"/>
        <v>0</v>
      </c>
      <c r="M95" t="s">
        <v>1021</v>
      </c>
      <c r="N95" t="e">
        <f ca="1">DecToBin(SUM(K421:K421),16)</f>
        <v>#NAME?</v>
      </c>
    </row>
    <row r="96" spans="1:14" ht="15" thickBot="1" x14ac:dyDescent="0.4">
      <c r="A96" s="158"/>
      <c r="B96" s="155"/>
      <c r="C96" s="156"/>
      <c r="D96" s="145" t="s">
        <v>334</v>
      </c>
      <c r="E96" s="145" t="s">
        <v>628</v>
      </c>
      <c r="F96" s="145" t="s">
        <v>534</v>
      </c>
      <c r="G96" s="145">
        <v>6</v>
      </c>
      <c r="H96" s="145" t="str">
        <f>"5"</f>
        <v>5</v>
      </c>
      <c r="I96" s="145" t="str">
        <f>"0"</f>
        <v>0</v>
      </c>
      <c r="J96" s="144">
        <v>0</v>
      </c>
      <c r="K96" s="145">
        <f t="shared" si="1"/>
        <v>0</v>
      </c>
      <c r="M96" t="s">
        <v>1024</v>
      </c>
      <c r="N96" t="e">
        <f ca="1">DecToBin(SUM(K422:K423),17)</f>
        <v>#NAME?</v>
      </c>
    </row>
    <row r="97" spans="1:14" ht="15" thickBot="1" x14ac:dyDescent="0.4">
      <c r="A97" s="158"/>
      <c r="B97" s="155" t="s">
        <v>335</v>
      </c>
      <c r="C97" s="157" t="s">
        <v>647</v>
      </c>
      <c r="D97" s="143" t="s">
        <v>27</v>
      </c>
      <c r="E97" s="143" t="s">
        <v>533</v>
      </c>
      <c r="F97" s="143" t="s">
        <v>534</v>
      </c>
      <c r="G97" s="143">
        <v>6</v>
      </c>
      <c r="H97" s="143" t="str">
        <f>"31"</f>
        <v>31</v>
      </c>
      <c r="I97" s="143" t="str">
        <f>"26"</f>
        <v>26</v>
      </c>
      <c r="J97" s="144">
        <v>0</v>
      </c>
      <c r="K97" s="143">
        <f t="shared" si="1"/>
        <v>0</v>
      </c>
      <c r="M97" t="s">
        <v>1027</v>
      </c>
      <c r="N97" t="e">
        <f ca="1">DecToBin(SUM(K424:K425),32)</f>
        <v>#NAME?</v>
      </c>
    </row>
    <row r="98" spans="1:14" ht="15" thickBot="1" x14ac:dyDescent="0.4">
      <c r="A98" s="158"/>
      <c r="B98" s="155"/>
      <c r="C98" s="157"/>
      <c r="D98" s="143" t="s">
        <v>630</v>
      </c>
      <c r="E98" s="143" t="s">
        <v>552</v>
      </c>
      <c r="F98" s="143" t="s">
        <v>534</v>
      </c>
      <c r="G98" s="143">
        <v>2</v>
      </c>
      <c r="H98" s="143" t="str">
        <f>"25"</f>
        <v>25</v>
      </c>
      <c r="I98" s="143" t="str">
        <f>"24"</f>
        <v>24</v>
      </c>
      <c r="J98" s="144">
        <v>0</v>
      </c>
      <c r="K98" s="143">
        <f t="shared" si="1"/>
        <v>0</v>
      </c>
      <c r="M98" t="s">
        <v>1029</v>
      </c>
      <c r="N98" t="e">
        <f ca="1">DecToBin(SUM(K426:K426),8)</f>
        <v>#NAME?</v>
      </c>
    </row>
    <row r="99" spans="1:14" ht="58.5" thickBot="1" x14ac:dyDescent="0.4">
      <c r="A99" s="158"/>
      <c r="B99" s="155"/>
      <c r="C99" s="157"/>
      <c r="D99" s="143" t="s">
        <v>336</v>
      </c>
      <c r="E99" s="146" t="s">
        <v>631</v>
      </c>
      <c r="F99" s="143" t="s">
        <v>534</v>
      </c>
      <c r="G99" s="143">
        <v>2</v>
      </c>
      <c r="H99" s="143" t="str">
        <f>"23"</f>
        <v>23</v>
      </c>
      <c r="I99" s="143" t="str">
        <f>"22"</f>
        <v>22</v>
      </c>
      <c r="J99" s="144">
        <v>0</v>
      </c>
      <c r="K99" s="143">
        <f t="shared" si="1"/>
        <v>0</v>
      </c>
      <c r="M99" t="s">
        <v>1031</v>
      </c>
      <c r="N99" t="e">
        <f ca="1">DecToBin(SUM(K427:K427),30)</f>
        <v>#NAME?</v>
      </c>
    </row>
    <row r="100" spans="1:14" ht="15" thickBot="1" x14ac:dyDescent="0.4">
      <c r="A100" s="158"/>
      <c r="B100" s="155"/>
      <c r="C100" s="157"/>
      <c r="D100" s="143" t="s">
        <v>337</v>
      </c>
      <c r="E100" s="143" t="s">
        <v>632</v>
      </c>
      <c r="F100" s="143" t="s">
        <v>534</v>
      </c>
      <c r="G100" s="143">
        <v>3</v>
      </c>
      <c r="H100" s="143" t="str">
        <f>"21"</f>
        <v>21</v>
      </c>
      <c r="I100" s="143" t="str">
        <f>"19"</f>
        <v>19</v>
      </c>
      <c r="J100" s="144">
        <v>0</v>
      </c>
      <c r="K100" s="143">
        <f t="shared" si="1"/>
        <v>0</v>
      </c>
    </row>
    <row r="101" spans="1:14" ht="102" thickBot="1" x14ac:dyDescent="0.4">
      <c r="A101" s="158"/>
      <c r="B101" s="155"/>
      <c r="C101" s="157"/>
      <c r="D101" s="143" t="s">
        <v>338</v>
      </c>
      <c r="E101" s="146" t="s">
        <v>633</v>
      </c>
      <c r="F101" s="143" t="s">
        <v>534</v>
      </c>
      <c r="G101" s="143">
        <v>2</v>
      </c>
      <c r="H101" s="143" t="str">
        <f>"18"</f>
        <v>18</v>
      </c>
      <c r="I101" s="143" t="str">
        <f>"17"</f>
        <v>17</v>
      </c>
      <c r="J101" s="144">
        <v>0</v>
      </c>
      <c r="K101" s="143">
        <f t="shared" si="1"/>
        <v>0</v>
      </c>
    </row>
    <row r="102" spans="1:14" ht="15" thickBot="1" x14ac:dyDescent="0.4">
      <c r="A102" s="158"/>
      <c r="B102" s="155"/>
      <c r="C102" s="157"/>
      <c r="D102" s="143" t="s">
        <v>339</v>
      </c>
      <c r="E102" s="143" t="s">
        <v>634</v>
      </c>
      <c r="F102" s="143" t="s">
        <v>534</v>
      </c>
      <c r="G102" s="143">
        <v>1</v>
      </c>
      <c r="H102" s="143"/>
      <c r="I102" s="143" t="str">
        <f>"16"</f>
        <v>16</v>
      </c>
      <c r="J102" s="144">
        <v>0</v>
      </c>
      <c r="K102" s="143">
        <f t="shared" si="1"/>
        <v>0</v>
      </c>
    </row>
    <row r="103" spans="1:14" ht="44" thickBot="1" x14ac:dyDescent="0.4">
      <c r="A103" s="158"/>
      <c r="B103" s="155"/>
      <c r="C103" s="157"/>
      <c r="D103" s="143" t="s">
        <v>340</v>
      </c>
      <c r="E103" s="146" t="s">
        <v>635</v>
      </c>
      <c r="F103" s="143" t="s">
        <v>534</v>
      </c>
      <c r="G103" s="143">
        <v>1</v>
      </c>
      <c r="H103" s="143"/>
      <c r="I103" s="143" t="str">
        <f>"15"</f>
        <v>15</v>
      </c>
      <c r="J103" s="144">
        <v>0</v>
      </c>
      <c r="K103" s="143">
        <f t="shared" si="1"/>
        <v>0</v>
      </c>
    </row>
    <row r="104" spans="1:14" ht="15" thickBot="1" x14ac:dyDescent="0.4">
      <c r="A104" s="158"/>
      <c r="B104" s="155"/>
      <c r="C104" s="157"/>
      <c r="D104" s="143" t="s">
        <v>341</v>
      </c>
      <c r="E104" s="143" t="s">
        <v>636</v>
      </c>
      <c r="F104" s="143" t="s">
        <v>534</v>
      </c>
      <c r="G104" s="143">
        <v>1</v>
      </c>
      <c r="H104" s="143"/>
      <c r="I104" s="143" t="str">
        <f>"14"</f>
        <v>14</v>
      </c>
      <c r="J104" s="144">
        <v>0</v>
      </c>
      <c r="K104" s="143">
        <f t="shared" si="1"/>
        <v>0</v>
      </c>
    </row>
    <row r="105" spans="1:14" ht="15" thickBot="1" x14ac:dyDescent="0.4">
      <c r="A105" s="158"/>
      <c r="B105" s="155"/>
      <c r="C105" s="157"/>
      <c r="D105" s="143" t="s">
        <v>342</v>
      </c>
      <c r="E105" s="143" t="s">
        <v>637</v>
      </c>
      <c r="F105" s="143" t="s">
        <v>534</v>
      </c>
      <c r="G105" s="143">
        <v>1</v>
      </c>
      <c r="H105" s="143"/>
      <c r="I105" s="143" t="str">
        <f>"13"</f>
        <v>13</v>
      </c>
      <c r="J105" s="144">
        <v>0</v>
      </c>
      <c r="K105" s="143">
        <f t="shared" si="1"/>
        <v>0</v>
      </c>
    </row>
    <row r="106" spans="1:14" ht="15" thickBot="1" x14ac:dyDescent="0.4">
      <c r="A106" s="158"/>
      <c r="B106" s="155"/>
      <c r="C106" s="157"/>
      <c r="D106" s="143" t="s">
        <v>343</v>
      </c>
      <c r="E106" s="143" t="s">
        <v>638</v>
      </c>
      <c r="F106" s="143" t="s">
        <v>534</v>
      </c>
      <c r="G106" s="143">
        <v>1</v>
      </c>
      <c r="H106" s="143"/>
      <c r="I106" s="143" t="str">
        <f>"12"</f>
        <v>12</v>
      </c>
      <c r="J106" s="144">
        <v>0</v>
      </c>
      <c r="K106" s="143">
        <f t="shared" si="1"/>
        <v>0</v>
      </c>
    </row>
    <row r="107" spans="1:14" ht="15" thickBot="1" x14ac:dyDescent="0.4">
      <c r="A107" s="158"/>
      <c r="B107" s="155"/>
      <c r="C107" s="157"/>
      <c r="D107" s="143" t="s">
        <v>344</v>
      </c>
      <c r="E107" s="143" t="s">
        <v>639</v>
      </c>
      <c r="F107" s="143" t="s">
        <v>534</v>
      </c>
      <c r="G107" s="143">
        <v>1</v>
      </c>
      <c r="H107" s="143"/>
      <c r="I107" s="143" t="str">
        <f>"11"</f>
        <v>11</v>
      </c>
      <c r="J107" s="144">
        <v>0</v>
      </c>
      <c r="K107" s="143">
        <f t="shared" si="1"/>
        <v>0</v>
      </c>
    </row>
    <row r="108" spans="1:14" ht="15" thickBot="1" x14ac:dyDescent="0.4">
      <c r="A108" s="158"/>
      <c r="B108" s="155"/>
      <c r="C108" s="157"/>
      <c r="D108" s="143" t="s">
        <v>345</v>
      </c>
      <c r="E108" s="143" t="s">
        <v>640</v>
      </c>
      <c r="F108" s="143" t="s">
        <v>534</v>
      </c>
      <c r="G108" s="143">
        <v>1</v>
      </c>
      <c r="H108" s="143"/>
      <c r="I108" s="143" t="str">
        <f>"10"</f>
        <v>10</v>
      </c>
      <c r="J108" s="144">
        <v>0</v>
      </c>
      <c r="K108" s="143">
        <f t="shared" si="1"/>
        <v>0</v>
      </c>
    </row>
    <row r="109" spans="1:14" ht="15" thickBot="1" x14ac:dyDescent="0.4">
      <c r="A109" s="158"/>
      <c r="B109" s="155"/>
      <c r="C109" s="157"/>
      <c r="D109" s="143" t="s">
        <v>346</v>
      </c>
      <c r="E109" s="143" t="s">
        <v>641</v>
      </c>
      <c r="F109" s="143" t="s">
        <v>534</v>
      </c>
      <c r="G109" s="143">
        <v>2</v>
      </c>
      <c r="H109" s="143" t="str">
        <f>"9"</f>
        <v>9</v>
      </c>
      <c r="I109" s="143" t="str">
        <f>"8"</f>
        <v>8</v>
      </c>
      <c r="J109" s="144">
        <v>0</v>
      </c>
      <c r="K109" s="143">
        <f t="shared" si="1"/>
        <v>0</v>
      </c>
    </row>
    <row r="110" spans="1:14" ht="15" thickBot="1" x14ac:dyDescent="0.4">
      <c r="A110" s="158"/>
      <c r="B110" s="155"/>
      <c r="C110" s="157"/>
      <c r="D110" s="143" t="s">
        <v>347</v>
      </c>
      <c r="E110" s="143" t="s">
        <v>642</v>
      </c>
      <c r="F110" s="143" t="s">
        <v>534</v>
      </c>
      <c r="G110" s="143">
        <v>2</v>
      </c>
      <c r="H110" s="143" t="str">
        <f>"7"</f>
        <v>7</v>
      </c>
      <c r="I110" s="143" t="str">
        <f>"6"</f>
        <v>6</v>
      </c>
      <c r="J110" s="144">
        <v>0</v>
      </c>
      <c r="K110" s="143">
        <f t="shared" si="1"/>
        <v>0</v>
      </c>
    </row>
    <row r="111" spans="1:14" ht="15" thickBot="1" x14ac:dyDescent="0.4">
      <c r="A111" s="158"/>
      <c r="B111" s="155"/>
      <c r="C111" s="157"/>
      <c r="D111" s="143" t="s">
        <v>348</v>
      </c>
      <c r="E111" s="143" t="s">
        <v>643</v>
      </c>
      <c r="F111" s="143" t="s">
        <v>534</v>
      </c>
      <c r="G111" s="143">
        <v>1</v>
      </c>
      <c r="H111" s="143"/>
      <c r="I111" s="143" t="str">
        <f>"5"</f>
        <v>5</v>
      </c>
      <c r="J111" s="144">
        <v>0</v>
      </c>
      <c r="K111" s="143">
        <f t="shared" si="1"/>
        <v>0</v>
      </c>
    </row>
    <row r="112" spans="1:14" ht="15" thickBot="1" x14ac:dyDescent="0.4">
      <c r="A112" s="158"/>
      <c r="B112" s="155"/>
      <c r="C112" s="157"/>
      <c r="D112" s="143" t="s">
        <v>349</v>
      </c>
      <c r="E112" s="143" t="s">
        <v>644</v>
      </c>
      <c r="F112" s="143" t="s">
        <v>534</v>
      </c>
      <c r="G112" s="143">
        <v>1</v>
      </c>
      <c r="H112" s="143"/>
      <c r="I112" s="143" t="str">
        <f>"4"</f>
        <v>4</v>
      </c>
      <c r="J112" s="144">
        <v>0</v>
      </c>
      <c r="K112" s="143">
        <f t="shared" si="1"/>
        <v>0</v>
      </c>
    </row>
    <row r="113" spans="1:11" ht="44" thickBot="1" x14ac:dyDescent="0.4">
      <c r="A113" s="158"/>
      <c r="B113" s="155"/>
      <c r="C113" s="157"/>
      <c r="D113" s="143" t="s">
        <v>350</v>
      </c>
      <c r="E113" s="146" t="s">
        <v>645</v>
      </c>
      <c r="F113" s="143" t="s">
        <v>534</v>
      </c>
      <c r="G113" s="143">
        <v>1</v>
      </c>
      <c r="H113" s="143"/>
      <c r="I113" s="143" t="str">
        <f>"3"</f>
        <v>3</v>
      </c>
      <c r="J113" s="144">
        <v>0</v>
      </c>
      <c r="K113" s="143">
        <f t="shared" si="1"/>
        <v>0</v>
      </c>
    </row>
    <row r="114" spans="1:11" ht="44" thickBot="1" x14ac:dyDescent="0.4">
      <c r="A114" s="158"/>
      <c r="B114" s="155"/>
      <c r="C114" s="157"/>
      <c r="D114" s="143" t="s">
        <v>351</v>
      </c>
      <c r="E114" s="146" t="s">
        <v>646</v>
      </c>
      <c r="F114" s="143" t="s">
        <v>534</v>
      </c>
      <c r="G114" s="143">
        <v>3</v>
      </c>
      <c r="H114" s="143" t="str">
        <f>"2"</f>
        <v>2</v>
      </c>
      <c r="I114" s="143" t="str">
        <f>"0"</f>
        <v>0</v>
      </c>
      <c r="J114" s="144">
        <v>0</v>
      </c>
      <c r="K114" s="143">
        <f t="shared" si="1"/>
        <v>0</v>
      </c>
    </row>
    <row r="115" spans="1:11" ht="15" thickBot="1" x14ac:dyDescent="0.4">
      <c r="A115" s="158"/>
      <c r="B115" s="155" t="s">
        <v>352</v>
      </c>
      <c r="C115" s="156" t="s">
        <v>651</v>
      </c>
      <c r="D115" s="145" t="s">
        <v>28</v>
      </c>
      <c r="E115" s="145" t="s">
        <v>533</v>
      </c>
      <c r="F115" s="145" t="s">
        <v>534</v>
      </c>
      <c r="G115" s="145">
        <v>6</v>
      </c>
      <c r="H115" s="145" t="str">
        <f>"31"</f>
        <v>31</v>
      </c>
      <c r="I115" s="145" t="str">
        <f>"26"</f>
        <v>26</v>
      </c>
      <c r="J115" s="144">
        <v>0</v>
      </c>
      <c r="K115" s="145">
        <f t="shared" si="1"/>
        <v>0</v>
      </c>
    </row>
    <row r="116" spans="1:11" ht="15" thickBot="1" x14ac:dyDescent="0.4">
      <c r="A116" s="158"/>
      <c r="B116" s="155"/>
      <c r="C116" s="156"/>
      <c r="D116" s="145" t="s">
        <v>648</v>
      </c>
      <c r="E116" s="145" t="s">
        <v>552</v>
      </c>
      <c r="F116" s="145" t="s">
        <v>534</v>
      </c>
      <c r="G116" s="145">
        <v>17</v>
      </c>
      <c r="H116" s="145" t="str">
        <f>"25"</f>
        <v>25</v>
      </c>
      <c r="I116" s="145" t="str">
        <f>"9"</f>
        <v>9</v>
      </c>
      <c r="J116" s="144">
        <v>0</v>
      </c>
      <c r="K116" s="145">
        <f t="shared" si="1"/>
        <v>0</v>
      </c>
    </row>
    <row r="117" spans="1:11" ht="44" thickBot="1" x14ac:dyDescent="0.4">
      <c r="A117" s="158"/>
      <c r="B117" s="155"/>
      <c r="C117" s="156"/>
      <c r="D117" s="145" t="s">
        <v>353</v>
      </c>
      <c r="E117" s="147" t="s">
        <v>649</v>
      </c>
      <c r="F117" s="145" t="s">
        <v>534</v>
      </c>
      <c r="G117" s="145">
        <v>2</v>
      </c>
      <c r="H117" s="145" t="str">
        <f>"8"</f>
        <v>8</v>
      </c>
      <c r="I117" s="145" t="str">
        <f>"7"</f>
        <v>7</v>
      </c>
      <c r="J117" s="144">
        <v>0</v>
      </c>
      <c r="K117" s="145">
        <f t="shared" si="1"/>
        <v>0</v>
      </c>
    </row>
    <row r="118" spans="1:11" ht="44" thickBot="1" x14ac:dyDescent="0.4">
      <c r="A118" s="158"/>
      <c r="B118" s="155"/>
      <c r="C118" s="156"/>
      <c r="D118" s="145" t="s">
        <v>354</v>
      </c>
      <c r="E118" s="147" t="s">
        <v>650</v>
      </c>
      <c r="F118" s="145" t="s">
        <v>534</v>
      </c>
      <c r="G118" s="145">
        <v>7</v>
      </c>
      <c r="H118" s="145" t="str">
        <f>"6"</f>
        <v>6</v>
      </c>
      <c r="I118" s="145" t="str">
        <f>"0"</f>
        <v>0</v>
      </c>
      <c r="J118" s="144">
        <v>0</v>
      </c>
      <c r="K118" s="145">
        <f t="shared" si="1"/>
        <v>0</v>
      </c>
    </row>
    <row r="119" spans="1:11" ht="15" thickBot="1" x14ac:dyDescent="0.4">
      <c r="A119" s="158"/>
      <c r="B119" s="155" t="s">
        <v>355</v>
      </c>
      <c r="C119" s="157" t="s">
        <v>657</v>
      </c>
      <c r="D119" s="143" t="s">
        <v>29</v>
      </c>
      <c r="E119" s="143" t="s">
        <v>533</v>
      </c>
      <c r="F119" s="143" t="s">
        <v>534</v>
      </c>
      <c r="G119" s="143">
        <v>6</v>
      </c>
      <c r="H119" s="143" t="str">
        <f>"31"</f>
        <v>31</v>
      </c>
      <c r="I119" s="143" t="str">
        <f>"26"</f>
        <v>26</v>
      </c>
      <c r="J119" s="144">
        <v>0</v>
      </c>
      <c r="K119" s="143">
        <f t="shared" si="1"/>
        <v>0</v>
      </c>
    </row>
    <row r="120" spans="1:11" ht="15" thickBot="1" x14ac:dyDescent="0.4">
      <c r="A120" s="158"/>
      <c r="B120" s="155"/>
      <c r="C120" s="157"/>
      <c r="D120" s="143" t="s">
        <v>652</v>
      </c>
      <c r="E120" s="143" t="s">
        <v>552</v>
      </c>
      <c r="F120" s="143" t="s">
        <v>534</v>
      </c>
      <c r="G120" s="143">
        <v>17</v>
      </c>
      <c r="H120" s="143" t="str">
        <f>"25"</f>
        <v>25</v>
      </c>
      <c r="I120" s="143" t="str">
        <f>"9"</f>
        <v>9</v>
      </c>
      <c r="J120" s="144">
        <v>0</v>
      </c>
      <c r="K120" s="143">
        <f t="shared" si="1"/>
        <v>0</v>
      </c>
    </row>
    <row r="121" spans="1:11" ht="58.5" thickBot="1" x14ac:dyDescent="0.4">
      <c r="A121" s="158"/>
      <c r="B121" s="155"/>
      <c r="C121" s="157"/>
      <c r="D121" s="143" t="s">
        <v>17</v>
      </c>
      <c r="E121" s="146" t="s">
        <v>653</v>
      </c>
      <c r="F121" s="143" t="s">
        <v>534</v>
      </c>
      <c r="G121" s="143">
        <v>3</v>
      </c>
      <c r="H121" s="143" t="str">
        <f>"8"</f>
        <v>8</v>
      </c>
      <c r="I121" s="143" t="str">
        <f>"6"</f>
        <v>6</v>
      </c>
      <c r="J121" s="144">
        <v>0</v>
      </c>
      <c r="K121" s="143">
        <f t="shared" si="1"/>
        <v>0</v>
      </c>
    </row>
    <row r="122" spans="1:11" ht="15" thickBot="1" x14ac:dyDescent="0.4">
      <c r="A122" s="158"/>
      <c r="B122" s="155"/>
      <c r="C122" s="157"/>
      <c r="D122" s="143" t="s">
        <v>356</v>
      </c>
      <c r="E122" s="143" t="s">
        <v>654</v>
      </c>
      <c r="F122" s="143" t="s">
        <v>534</v>
      </c>
      <c r="G122" s="143">
        <v>1</v>
      </c>
      <c r="H122" s="143"/>
      <c r="I122" s="143" t="str">
        <f>"5"</f>
        <v>5</v>
      </c>
      <c r="J122" s="144">
        <v>0</v>
      </c>
      <c r="K122" s="143">
        <f t="shared" si="1"/>
        <v>0</v>
      </c>
    </row>
    <row r="123" spans="1:11" ht="44" thickBot="1" x14ac:dyDescent="0.4">
      <c r="A123" s="158"/>
      <c r="B123" s="155"/>
      <c r="C123" s="157"/>
      <c r="D123" s="143" t="s">
        <v>357</v>
      </c>
      <c r="E123" s="146" t="s">
        <v>655</v>
      </c>
      <c r="F123" s="143" t="s">
        <v>534</v>
      </c>
      <c r="G123" s="143">
        <v>1</v>
      </c>
      <c r="H123" s="143"/>
      <c r="I123" s="143" t="str">
        <f>"4"</f>
        <v>4</v>
      </c>
      <c r="J123" s="144">
        <v>0</v>
      </c>
      <c r="K123" s="143">
        <f t="shared" si="1"/>
        <v>0</v>
      </c>
    </row>
    <row r="124" spans="1:11" ht="232.5" thickBot="1" x14ac:dyDescent="0.4">
      <c r="A124" s="158"/>
      <c r="B124" s="155"/>
      <c r="C124" s="157"/>
      <c r="D124" s="143" t="s">
        <v>358</v>
      </c>
      <c r="E124" s="146" t="s">
        <v>656</v>
      </c>
      <c r="F124" s="143" t="s">
        <v>534</v>
      </c>
      <c r="G124" s="143">
        <v>4</v>
      </c>
      <c r="H124" s="143" t="str">
        <f>"3"</f>
        <v>3</v>
      </c>
      <c r="I124" s="143" t="str">
        <f>"0"</f>
        <v>0</v>
      </c>
      <c r="J124" s="144">
        <v>0</v>
      </c>
      <c r="K124" s="143">
        <f t="shared" si="1"/>
        <v>0</v>
      </c>
    </row>
    <row r="125" spans="1:11" ht="15" thickBot="1" x14ac:dyDescent="0.4">
      <c r="A125" s="158"/>
      <c r="B125" s="155" t="s">
        <v>359</v>
      </c>
      <c r="C125" s="156" t="s">
        <v>660</v>
      </c>
      <c r="D125" s="145" t="s">
        <v>30</v>
      </c>
      <c r="E125" s="145" t="s">
        <v>533</v>
      </c>
      <c r="F125" s="145" t="s">
        <v>534</v>
      </c>
      <c r="G125" s="145">
        <v>6</v>
      </c>
      <c r="H125" s="145" t="str">
        <f>"31"</f>
        <v>31</v>
      </c>
      <c r="I125" s="145" t="str">
        <f>"26"</f>
        <v>26</v>
      </c>
      <c r="J125" s="144">
        <v>0</v>
      </c>
      <c r="K125" s="145">
        <f t="shared" si="1"/>
        <v>0</v>
      </c>
    </row>
    <row r="126" spans="1:11" ht="15" thickBot="1" x14ac:dyDescent="0.4">
      <c r="A126" s="158"/>
      <c r="B126" s="155"/>
      <c r="C126" s="156"/>
      <c r="D126" s="145" t="s">
        <v>360</v>
      </c>
      <c r="E126" s="145" t="s">
        <v>658</v>
      </c>
      <c r="F126" s="145" t="s">
        <v>534</v>
      </c>
      <c r="G126" s="145">
        <v>13</v>
      </c>
      <c r="H126" s="145" t="str">
        <f>"25"</f>
        <v>25</v>
      </c>
      <c r="I126" s="145" t="str">
        <f>"13"</f>
        <v>13</v>
      </c>
      <c r="J126" s="144">
        <v>0</v>
      </c>
      <c r="K126" s="145">
        <f t="shared" si="1"/>
        <v>0</v>
      </c>
    </row>
    <row r="127" spans="1:11" ht="15" thickBot="1" x14ac:dyDescent="0.4">
      <c r="A127" s="158"/>
      <c r="B127" s="155"/>
      <c r="C127" s="156"/>
      <c r="D127" s="145" t="s">
        <v>361</v>
      </c>
      <c r="E127" s="145" t="s">
        <v>659</v>
      </c>
      <c r="F127" s="145" t="s">
        <v>534</v>
      </c>
      <c r="G127" s="145">
        <v>13</v>
      </c>
      <c r="H127" s="145" t="str">
        <f>"12"</f>
        <v>12</v>
      </c>
      <c r="I127" s="145" t="str">
        <f>"0"</f>
        <v>0</v>
      </c>
      <c r="J127" s="144">
        <v>0</v>
      </c>
      <c r="K127" s="145">
        <f t="shared" si="1"/>
        <v>0</v>
      </c>
    </row>
    <row r="128" spans="1:11" ht="15" thickBot="1" x14ac:dyDescent="0.4">
      <c r="A128" s="158"/>
      <c r="B128" s="155" t="s">
        <v>362</v>
      </c>
      <c r="C128" s="157" t="s">
        <v>663</v>
      </c>
      <c r="D128" s="143" t="s">
        <v>31</v>
      </c>
      <c r="E128" s="143" t="s">
        <v>533</v>
      </c>
      <c r="F128" s="143" t="s">
        <v>534</v>
      </c>
      <c r="G128" s="143">
        <v>6</v>
      </c>
      <c r="H128" s="143" t="str">
        <f>"31"</f>
        <v>31</v>
      </c>
      <c r="I128" s="143" t="str">
        <f>"26"</f>
        <v>26</v>
      </c>
      <c r="J128" s="144">
        <v>0</v>
      </c>
      <c r="K128" s="143">
        <f t="shared" si="1"/>
        <v>0</v>
      </c>
    </row>
    <row r="129" spans="1:11" ht="15" thickBot="1" x14ac:dyDescent="0.4">
      <c r="A129" s="158"/>
      <c r="B129" s="155"/>
      <c r="C129" s="157"/>
      <c r="D129" s="143" t="s">
        <v>363</v>
      </c>
      <c r="E129" s="143" t="s">
        <v>661</v>
      </c>
      <c r="F129" s="143" t="s">
        <v>534</v>
      </c>
      <c r="G129" s="143">
        <v>13</v>
      </c>
      <c r="H129" s="143" t="str">
        <f>"25"</f>
        <v>25</v>
      </c>
      <c r="I129" s="143" t="str">
        <f>"13"</f>
        <v>13</v>
      </c>
      <c r="J129" s="144">
        <v>0</v>
      </c>
      <c r="K129" s="143">
        <f t="shared" si="1"/>
        <v>0</v>
      </c>
    </row>
    <row r="130" spans="1:11" ht="15" thickBot="1" x14ac:dyDescent="0.4">
      <c r="A130" s="158"/>
      <c r="B130" s="155"/>
      <c r="C130" s="157"/>
      <c r="D130" s="143" t="s">
        <v>364</v>
      </c>
      <c r="E130" s="143" t="s">
        <v>662</v>
      </c>
      <c r="F130" s="143" t="s">
        <v>534</v>
      </c>
      <c r="G130" s="143">
        <v>13</v>
      </c>
      <c r="H130" s="143" t="str">
        <f>"12"</f>
        <v>12</v>
      </c>
      <c r="I130" s="143" t="str">
        <f>"0"</f>
        <v>0</v>
      </c>
      <c r="J130" s="144">
        <v>0</v>
      </c>
      <c r="K130" s="143">
        <f t="shared" si="1"/>
        <v>0</v>
      </c>
    </row>
    <row r="131" spans="1:11" ht="15" thickBot="1" x14ac:dyDescent="0.4">
      <c r="A131" s="158"/>
      <c r="B131" s="155" t="s">
        <v>365</v>
      </c>
      <c r="C131" s="156" t="s">
        <v>666</v>
      </c>
      <c r="D131" s="145" t="s">
        <v>33</v>
      </c>
      <c r="E131" s="145" t="s">
        <v>533</v>
      </c>
      <c r="F131" s="145" t="s">
        <v>534</v>
      </c>
      <c r="G131" s="145">
        <v>6</v>
      </c>
      <c r="H131" s="145" t="str">
        <f>"31"</f>
        <v>31</v>
      </c>
      <c r="I131" s="145" t="str">
        <f>"26"</f>
        <v>26</v>
      </c>
      <c r="J131" s="144">
        <v>0</v>
      </c>
      <c r="K131" s="145">
        <f t="shared" ref="K131:K194" si="2">J131 * POWER( 2, I131)</f>
        <v>0</v>
      </c>
    </row>
    <row r="132" spans="1:11" ht="15" thickBot="1" x14ac:dyDescent="0.4">
      <c r="A132" s="158"/>
      <c r="B132" s="155"/>
      <c r="C132" s="156"/>
      <c r="D132" s="145" t="s">
        <v>366</v>
      </c>
      <c r="E132" s="145" t="s">
        <v>664</v>
      </c>
      <c r="F132" s="145" t="s">
        <v>534</v>
      </c>
      <c r="G132" s="145">
        <v>13</v>
      </c>
      <c r="H132" s="145" t="str">
        <f>"25"</f>
        <v>25</v>
      </c>
      <c r="I132" s="145" t="str">
        <f>"13"</f>
        <v>13</v>
      </c>
      <c r="J132" s="144">
        <v>0</v>
      </c>
      <c r="K132" s="145">
        <f t="shared" si="2"/>
        <v>0</v>
      </c>
    </row>
    <row r="133" spans="1:11" ht="15" thickBot="1" x14ac:dyDescent="0.4">
      <c r="A133" s="158"/>
      <c r="B133" s="155"/>
      <c r="C133" s="156"/>
      <c r="D133" s="145" t="s">
        <v>367</v>
      </c>
      <c r="E133" s="145" t="s">
        <v>665</v>
      </c>
      <c r="F133" s="145" t="s">
        <v>534</v>
      </c>
      <c r="G133" s="145">
        <v>13</v>
      </c>
      <c r="H133" s="145" t="str">
        <f>"12"</f>
        <v>12</v>
      </c>
      <c r="I133" s="145" t="str">
        <f>"0"</f>
        <v>0</v>
      </c>
      <c r="J133" s="144">
        <v>0</v>
      </c>
      <c r="K133" s="145">
        <f t="shared" si="2"/>
        <v>0</v>
      </c>
    </row>
    <row r="134" spans="1:11" ht="15" thickBot="1" x14ac:dyDescent="0.4">
      <c r="A134" s="158"/>
      <c r="B134" s="155" t="s">
        <v>368</v>
      </c>
      <c r="C134" s="157" t="s">
        <v>669</v>
      </c>
      <c r="D134" s="143" t="s">
        <v>34</v>
      </c>
      <c r="E134" s="143" t="s">
        <v>533</v>
      </c>
      <c r="F134" s="143" t="s">
        <v>534</v>
      </c>
      <c r="G134" s="143">
        <v>6</v>
      </c>
      <c r="H134" s="143" t="str">
        <f>"31"</f>
        <v>31</v>
      </c>
      <c r="I134" s="143" t="str">
        <f>"26"</f>
        <v>26</v>
      </c>
      <c r="J134" s="144">
        <v>0</v>
      </c>
      <c r="K134" s="143">
        <f t="shared" si="2"/>
        <v>0</v>
      </c>
    </row>
    <row r="135" spans="1:11" ht="15" thickBot="1" x14ac:dyDescent="0.4">
      <c r="A135" s="158"/>
      <c r="B135" s="155"/>
      <c r="C135" s="157"/>
      <c r="D135" s="143" t="s">
        <v>369</v>
      </c>
      <c r="E135" s="143" t="s">
        <v>667</v>
      </c>
      <c r="F135" s="143" t="s">
        <v>534</v>
      </c>
      <c r="G135" s="143">
        <v>13</v>
      </c>
      <c r="H135" s="143" t="str">
        <f>"25"</f>
        <v>25</v>
      </c>
      <c r="I135" s="143" t="str">
        <f>"13"</f>
        <v>13</v>
      </c>
      <c r="J135" s="144">
        <v>0</v>
      </c>
      <c r="K135" s="143">
        <f t="shared" si="2"/>
        <v>0</v>
      </c>
    </row>
    <row r="136" spans="1:11" ht="15" thickBot="1" x14ac:dyDescent="0.4">
      <c r="A136" s="158"/>
      <c r="B136" s="155"/>
      <c r="C136" s="157"/>
      <c r="D136" s="143" t="s">
        <v>370</v>
      </c>
      <c r="E136" s="143" t="s">
        <v>668</v>
      </c>
      <c r="F136" s="143" t="s">
        <v>534</v>
      </c>
      <c r="G136" s="143">
        <v>13</v>
      </c>
      <c r="H136" s="143" t="str">
        <f>"12"</f>
        <v>12</v>
      </c>
      <c r="I136" s="143" t="str">
        <f>"0"</f>
        <v>0</v>
      </c>
      <c r="J136" s="144">
        <v>0</v>
      </c>
      <c r="K136" s="143">
        <f t="shared" si="2"/>
        <v>0</v>
      </c>
    </row>
    <row r="137" spans="1:11" ht="15" thickBot="1" x14ac:dyDescent="0.4">
      <c r="A137" s="158"/>
      <c r="B137" s="155" t="s">
        <v>371</v>
      </c>
      <c r="C137" s="156" t="s">
        <v>672</v>
      </c>
      <c r="D137" s="145" t="s">
        <v>35</v>
      </c>
      <c r="E137" s="145" t="s">
        <v>533</v>
      </c>
      <c r="F137" s="145" t="s">
        <v>534</v>
      </c>
      <c r="G137" s="145">
        <v>6</v>
      </c>
      <c r="H137" s="145" t="str">
        <f>"31"</f>
        <v>31</v>
      </c>
      <c r="I137" s="145" t="str">
        <f>"26"</f>
        <v>26</v>
      </c>
      <c r="J137" s="144">
        <v>0</v>
      </c>
      <c r="K137" s="145">
        <f t="shared" si="2"/>
        <v>0</v>
      </c>
    </row>
    <row r="138" spans="1:11" ht="15" thickBot="1" x14ac:dyDescent="0.4">
      <c r="A138" s="158"/>
      <c r="B138" s="155"/>
      <c r="C138" s="156"/>
      <c r="D138" s="145" t="s">
        <v>372</v>
      </c>
      <c r="E138" s="145" t="s">
        <v>670</v>
      </c>
      <c r="F138" s="145" t="s">
        <v>534</v>
      </c>
      <c r="G138" s="145">
        <v>13</v>
      </c>
      <c r="H138" s="145" t="str">
        <f>"25"</f>
        <v>25</v>
      </c>
      <c r="I138" s="145" t="str">
        <f>"13"</f>
        <v>13</v>
      </c>
      <c r="J138" s="144">
        <v>0</v>
      </c>
      <c r="K138" s="145">
        <f t="shared" si="2"/>
        <v>0</v>
      </c>
    </row>
    <row r="139" spans="1:11" ht="15" thickBot="1" x14ac:dyDescent="0.4">
      <c r="A139" s="158"/>
      <c r="B139" s="155"/>
      <c r="C139" s="156"/>
      <c r="D139" s="145" t="s">
        <v>373</v>
      </c>
      <c r="E139" s="145" t="s">
        <v>671</v>
      </c>
      <c r="F139" s="145" t="s">
        <v>534</v>
      </c>
      <c r="G139" s="145">
        <v>13</v>
      </c>
      <c r="H139" s="145" t="str">
        <f>"12"</f>
        <v>12</v>
      </c>
      <c r="I139" s="145" t="str">
        <f>"0"</f>
        <v>0</v>
      </c>
      <c r="J139" s="144">
        <v>0</v>
      </c>
      <c r="K139" s="145">
        <f t="shared" si="2"/>
        <v>0</v>
      </c>
    </row>
    <row r="140" spans="1:11" ht="15" thickBot="1" x14ac:dyDescent="0.4">
      <c r="A140" s="158"/>
      <c r="B140" s="155" t="s">
        <v>374</v>
      </c>
      <c r="C140" s="157" t="s">
        <v>675</v>
      </c>
      <c r="D140" s="143" t="s">
        <v>36</v>
      </c>
      <c r="E140" s="143" t="s">
        <v>533</v>
      </c>
      <c r="F140" s="143" t="s">
        <v>534</v>
      </c>
      <c r="G140" s="143">
        <v>6</v>
      </c>
      <c r="H140" s="143" t="str">
        <f>"31"</f>
        <v>31</v>
      </c>
      <c r="I140" s="143" t="str">
        <f>"26"</f>
        <v>26</v>
      </c>
      <c r="J140" s="144">
        <v>0</v>
      </c>
      <c r="K140" s="143">
        <f t="shared" si="2"/>
        <v>0</v>
      </c>
    </row>
    <row r="141" spans="1:11" ht="15" thickBot="1" x14ac:dyDescent="0.4">
      <c r="A141" s="158"/>
      <c r="B141" s="155"/>
      <c r="C141" s="157"/>
      <c r="D141" s="143" t="s">
        <v>375</v>
      </c>
      <c r="E141" s="143" t="s">
        <v>673</v>
      </c>
      <c r="F141" s="143" t="s">
        <v>534</v>
      </c>
      <c r="G141" s="143">
        <v>13</v>
      </c>
      <c r="H141" s="143" t="str">
        <f>"25"</f>
        <v>25</v>
      </c>
      <c r="I141" s="143" t="str">
        <f>"13"</f>
        <v>13</v>
      </c>
      <c r="J141" s="144">
        <v>0</v>
      </c>
      <c r="K141" s="143">
        <f t="shared" si="2"/>
        <v>0</v>
      </c>
    </row>
    <row r="142" spans="1:11" ht="15" thickBot="1" x14ac:dyDescent="0.4">
      <c r="A142" s="158"/>
      <c r="B142" s="155"/>
      <c r="C142" s="157"/>
      <c r="D142" s="143" t="s">
        <v>376</v>
      </c>
      <c r="E142" s="143" t="s">
        <v>674</v>
      </c>
      <c r="F142" s="143" t="s">
        <v>534</v>
      </c>
      <c r="G142" s="143">
        <v>13</v>
      </c>
      <c r="H142" s="143" t="str">
        <f>"12"</f>
        <v>12</v>
      </c>
      <c r="I142" s="143" t="str">
        <f>"0"</f>
        <v>0</v>
      </c>
      <c r="J142" s="144">
        <v>0</v>
      </c>
      <c r="K142" s="143">
        <f t="shared" si="2"/>
        <v>0</v>
      </c>
    </row>
    <row r="143" spans="1:11" ht="15" thickBot="1" x14ac:dyDescent="0.4">
      <c r="A143" s="158"/>
      <c r="B143" s="155" t="s">
        <v>377</v>
      </c>
      <c r="C143" s="156" t="s">
        <v>678</v>
      </c>
      <c r="D143" s="145" t="s">
        <v>37</v>
      </c>
      <c r="E143" s="145" t="s">
        <v>533</v>
      </c>
      <c r="F143" s="145" t="s">
        <v>534</v>
      </c>
      <c r="G143" s="145">
        <v>6</v>
      </c>
      <c r="H143" s="145" t="str">
        <f>"31"</f>
        <v>31</v>
      </c>
      <c r="I143" s="145" t="str">
        <f>"26"</f>
        <v>26</v>
      </c>
      <c r="J143" s="144">
        <v>0</v>
      </c>
      <c r="K143" s="145">
        <f t="shared" si="2"/>
        <v>0</v>
      </c>
    </row>
    <row r="144" spans="1:11" ht="15" thickBot="1" x14ac:dyDescent="0.4">
      <c r="A144" s="158"/>
      <c r="B144" s="155"/>
      <c r="C144" s="156"/>
      <c r="D144" s="145" t="s">
        <v>378</v>
      </c>
      <c r="E144" s="145" t="s">
        <v>676</v>
      </c>
      <c r="F144" s="145" t="s">
        <v>534</v>
      </c>
      <c r="G144" s="145">
        <v>13</v>
      </c>
      <c r="H144" s="145" t="str">
        <f>"25"</f>
        <v>25</v>
      </c>
      <c r="I144" s="145" t="str">
        <f>"13"</f>
        <v>13</v>
      </c>
      <c r="J144" s="144">
        <v>0</v>
      </c>
      <c r="K144" s="145">
        <f t="shared" si="2"/>
        <v>0</v>
      </c>
    </row>
    <row r="145" spans="1:11" ht="15" thickBot="1" x14ac:dyDescent="0.4">
      <c r="A145" s="158"/>
      <c r="B145" s="155"/>
      <c r="C145" s="156"/>
      <c r="D145" s="145" t="s">
        <v>379</v>
      </c>
      <c r="E145" s="145" t="s">
        <v>677</v>
      </c>
      <c r="F145" s="145" t="s">
        <v>534</v>
      </c>
      <c r="G145" s="145">
        <v>13</v>
      </c>
      <c r="H145" s="145" t="str">
        <f>"12"</f>
        <v>12</v>
      </c>
      <c r="I145" s="145" t="str">
        <f>"0"</f>
        <v>0</v>
      </c>
      <c r="J145" s="144">
        <v>0</v>
      </c>
      <c r="K145" s="145">
        <f t="shared" si="2"/>
        <v>0</v>
      </c>
    </row>
    <row r="146" spans="1:11" ht="15" thickBot="1" x14ac:dyDescent="0.4">
      <c r="A146" s="158"/>
      <c r="B146" s="155" t="s">
        <v>380</v>
      </c>
      <c r="C146" s="157" t="s">
        <v>681</v>
      </c>
      <c r="D146" s="143" t="s">
        <v>38</v>
      </c>
      <c r="E146" s="143" t="s">
        <v>533</v>
      </c>
      <c r="F146" s="143" t="s">
        <v>534</v>
      </c>
      <c r="G146" s="143">
        <v>6</v>
      </c>
      <c r="H146" s="143" t="str">
        <f>"31"</f>
        <v>31</v>
      </c>
      <c r="I146" s="143" t="str">
        <f>"26"</f>
        <v>26</v>
      </c>
      <c r="J146" s="144">
        <v>0</v>
      </c>
      <c r="K146" s="143">
        <f t="shared" si="2"/>
        <v>0</v>
      </c>
    </row>
    <row r="147" spans="1:11" ht="15" thickBot="1" x14ac:dyDescent="0.4">
      <c r="A147" s="158"/>
      <c r="B147" s="155"/>
      <c r="C147" s="157"/>
      <c r="D147" s="143" t="s">
        <v>381</v>
      </c>
      <c r="E147" s="143" t="s">
        <v>679</v>
      </c>
      <c r="F147" s="143" t="s">
        <v>534</v>
      </c>
      <c r="G147" s="143">
        <v>13</v>
      </c>
      <c r="H147" s="143" t="str">
        <f>"25"</f>
        <v>25</v>
      </c>
      <c r="I147" s="143" t="str">
        <f>"13"</f>
        <v>13</v>
      </c>
      <c r="J147" s="144">
        <v>0</v>
      </c>
      <c r="K147" s="143">
        <f t="shared" si="2"/>
        <v>0</v>
      </c>
    </row>
    <row r="148" spans="1:11" ht="15" thickBot="1" x14ac:dyDescent="0.4">
      <c r="A148" s="158"/>
      <c r="B148" s="155"/>
      <c r="C148" s="157"/>
      <c r="D148" s="143" t="s">
        <v>382</v>
      </c>
      <c r="E148" s="143" t="s">
        <v>680</v>
      </c>
      <c r="F148" s="143" t="s">
        <v>534</v>
      </c>
      <c r="G148" s="143">
        <v>13</v>
      </c>
      <c r="H148" s="143" t="str">
        <f>"12"</f>
        <v>12</v>
      </c>
      <c r="I148" s="143" t="str">
        <f>"0"</f>
        <v>0</v>
      </c>
      <c r="J148" s="144">
        <v>0</v>
      </c>
      <c r="K148" s="143">
        <f t="shared" si="2"/>
        <v>0</v>
      </c>
    </row>
    <row r="149" spans="1:11" ht="15" thickBot="1" x14ac:dyDescent="0.4">
      <c r="A149" s="158"/>
      <c r="B149" s="155" t="s">
        <v>383</v>
      </c>
      <c r="C149" s="156" t="s">
        <v>691</v>
      </c>
      <c r="D149" s="145" t="s">
        <v>39</v>
      </c>
      <c r="E149" s="145" t="s">
        <v>533</v>
      </c>
      <c r="F149" s="145" t="s">
        <v>534</v>
      </c>
      <c r="G149" s="145">
        <v>6</v>
      </c>
      <c r="H149" s="145" t="str">
        <f>"31"</f>
        <v>31</v>
      </c>
      <c r="I149" s="145" t="str">
        <f>"26"</f>
        <v>26</v>
      </c>
      <c r="J149" s="144">
        <v>0</v>
      </c>
      <c r="K149" s="145">
        <f t="shared" si="2"/>
        <v>0</v>
      </c>
    </row>
    <row r="150" spans="1:11" ht="15" thickBot="1" x14ac:dyDescent="0.4">
      <c r="A150" s="158"/>
      <c r="B150" s="155"/>
      <c r="C150" s="156"/>
      <c r="D150" s="145" t="s">
        <v>682</v>
      </c>
      <c r="E150" s="145" t="s">
        <v>683</v>
      </c>
      <c r="F150" s="145" t="s">
        <v>534</v>
      </c>
      <c r="G150" s="145">
        <v>3</v>
      </c>
      <c r="H150" s="145" t="str">
        <f>"25"</f>
        <v>25</v>
      </c>
      <c r="I150" s="145" t="str">
        <f>"23"</f>
        <v>23</v>
      </c>
      <c r="J150" s="144">
        <v>0</v>
      </c>
      <c r="K150" s="145">
        <f t="shared" si="2"/>
        <v>0</v>
      </c>
    </row>
    <row r="151" spans="1:11" ht="15" thickBot="1" x14ac:dyDescent="0.4">
      <c r="A151" s="158"/>
      <c r="B151" s="155"/>
      <c r="C151" s="156"/>
      <c r="D151" s="145" t="s">
        <v>384</v>
      </c>
      <c r="E151" s="145" t="s">
        <v>684</v>
      </c>
      <c r="F151" s="145" t="s">
        <v>534</v>
      </c>
      <c r="G151" s="145">
        <v>1</v>
      </c>
      <c r="H151" s="145"/>
      <c r="I151" s="145" t="str">
        <f>"22"</f>
        <v>22</v>
      </c>
      <c r="J151" s="144">
        <v>0</v>
      </c>
      <c r="K151" s="145">
        <f t="shared" si="2"/>
        <v>0</v>
      </c>
    </row>
    <row r="152" spans="1:11" ht="58.5" thickBot="1" x14ac:dyDescent="0.4">
      <c r="A152" s="158"/>
      <c r="B152" s="155"/>
      <c r="C152" s="156"/>
      <c r="D152" s="145" t="s">
        <v>385</v>
      </c>
      <c r="E152" s="147" t="s">
        <v>685</v>
      </c>
      <c r="F152" s="145" t="s">
        <v>534</v>
      </c>
      <c r="G152" s="145">
        <v>3</v>
      </c>
      <c r="H152" s="145" t="str">
        <f>"21"</f>
        <v>21</v>
      </c>
      <c r="I152" s="145" t="str">
        <f>"19"</f>
        <v>19</v>
      </c>
      <c r="J152" s="144">
        <v>0</v>
      </c>
      <c r="K152" s="145">
        <f t="shared" si="2"/>
        <v>0</v>
      </c>
    </row>
    <row r="153" spans="1:11" ht="15" thickBot="1" x14ac:dyDescent="0.4">
      <c r="A153" s="158"/>
      <c r="B153" s="155"/>
      <c r="C153" s="156"/>
      <c r="D153" s="145" t="s">
        <v>386</v>
      </c>
      <c r="E153" s="145" t="s">
        <v>686</v>
      </c>
      <c r="F153" s="145" t="s">
        <v>534</v>
      </c>
      <c r="G153" s="145">
        <v>1</v>
      </c>
      <c r="H153" s="145"/>
      <c r="I153" s="145" t="str">
        <f>"18"</f>
        <v>18</v>
      </c>
      <c r="J153" s="144">
        <v>0</v>
      </c>
      <c r="K153" s="145">
        <f t="shared" si="2"/>
        <v>0</v>
      </c>
    </row>
    <row r="154" spans="1:11" ht="29.5" thickBot="1" x14ac:dyDescent="0.4">
      <c r="A154" s="158"/>
      <c r="B154" s="155"/>
      <c r="C154" s="156"/>
      <c r="D154" s="145" t="s">
        <v>32</v>
      </c>
      <c r="E154" s="147" t="s">
        <v>687</v>
      </c>
      <c r="F154" s="145" t="s">
        <v>534</v>
      </c>
      <c r="G154" s="145">
        <v>3</v>
      </c>
      <c r="H154" s="145" t="str">
        <f>"17"</f>
        <v>17</v>
      </c>
      <c r="I154" s="145" t="str">
        <f>"15"</f>
        <v>15</v>
      </c>
      <c r="J154" s="144">
        <v>0</v>
      </c>
      <c r="K154" s="145">
        <f t="shared" si="2"/>
        <v>0</v>
      </c>
    </row>
    <row r="155" spans="1:11" ht="15" thickBot="1" x14ac:dyDescent="0.4">
      <c r="A155" s="158"/>
      <c r="B155" s="155"/>
      <c r="C155" s="156"/>
      <c r="D155" s="145" t="s">
        <v>387</v>
      </c>
      <c r="E155" s="145" t="s">
        <v>688</v>
      </c>
      <c r="F155" s="145" t="s">
        <v>534</v>
      </c>
      <c r="G155" s="145">
        <v>1</v>
      </c>
      <c r="H155" s="145"/>
      <c r="I155" s="145" t="str">
        <f>"14"</f>
        <v>14</v>
      </c>
      <c r="J155" s="144">
        <v>0</v>
      </c>
      <c r="K155" s="145">
        <f t="shared" si="2"/>
        <v>0</v>
      </c>
    </row>
    <row r="156" spans="1:11" ht="15" thickBot="1" x14ac:dyDescent="0.4">
      <c r="A156" s="158"/>
      <c r="B156" s="155"/>
      <c r="C156" s="156"/>
      <c r="D156" s="145" t="s">
        <v>388</v>
      </c>
      <c r="E156" s="145" t="s">
        <v>689</v>
      </c>
      <c r="F156" s="145" t="s">
        <v>534</v>
      </c>
      <c r="G156" s="145">
        <v>1</v>
      </c>
      <c r="H156" s="145"/>
      <c r="I156" s="145" t="str">
        <f>"13"</f>
        <v>13</v>
      </c>
      <c r="J156" s="144">
        <v>0</v>
      </c>
      <c r="K156" s="145">
        <f t="shared" si="2"/>
        <v>0</v>
      </c>
    </row>
    <row r="157" spans="1:11" ht="15" thickBot="1" x14ac:dyDescent="0.4">
      <c r="A157" s="158"/>
      <c r="B157" s="155"/>
      <c r="C157" s="156"/>
      <c r="D157" s="145" t="s">
        <v>389</v>
      </c>
      <c r="E157" s="145" t="s">
        <v>690</v>
      </c>
      <c r="F157" s="145" t="s">
        <v>534</v>
      </c>
      <c r="G157" s="145">
        <v>13</v>
      </c>
      <c r="H157" s="145" t="str">
        <f>"12"</f>
        <v>12</v>
      </c>
      <c r="I157" s="145" t="str">
        <f>"0"</f>
        <v>0</v>
      </c>
      <c r="J157" s="144">
        <v>0</v>
      </c>
      <c r="K157" s="145">
        <f t="shared" si="2"/>
        <v>0</v>
      </c>
    </row>
    <row r="158" spans="1:11" ht="15" thickBot="1" x14ac:dyDescent="0.4">
      <c r="A158" s="158"/>
      <c r="B158" s="155" t="s">
        <v>390</v>
      </c>
      <c r="C158" s="157" t="s">
        <v>695</v>
      </c>
      <c r="D158" s="143" t="s">
        <v>40</v>
      </c>
      <c r="E158" s="143" t="s">
        <v>533</v>
      </c>
      <c r="F158" s="143" t="s">
        <v>534</v>
      </c>
      <c r="G158" s="143">
        <v>6</v>
      </c>
      <c r="H158" s="143" t="str">
        <f>"31"</f>
        <v>31</v>
      </c>
      <c r="I158" s="143" t="str">
        <f>"26"</f>
        <v>26</v>
      </c>
      <c r="J158" s="144">
        <v>0</v>
      </c>
      <c r="K158" s="143">
        <f t="shared" si="2"/>
        <v>0</v>
      </c>
    </row>
    <row r="159" spans="1:11" ht="15" thickBot="1" x14ac:dyDescent="0.4">
      <c r="A159" s="158"/>
      <c r="B159" s="155"/>
      <c r="C159" s="157"/>
      <c r="D159" s="143" t="s">
        <v>391</v>
      </c>
      <c r="E159" s="143" t="s">
        <v>692</v>
      </c>
      <c r="F159" s="143" t="s">
        <v>534</v>
      </c>
      <c r="G159" s="143">
        <v>14</v>
      </c>
      <c r="H159" s="143" t="str">
        <f>"25"</f>
        <v>25</v>
      </c>
      <c r="I159" s="143" t="str">
        <f>"12"</f>
        <v>12</v>
      </c>
      <c r="J159" s="144">
        <v>0</v>
      </c>
      <c r="K159" s="143">
        <f t="shared" si="2"/>
        <v>0</v>
      </c>
    </row>
    <row r="160" spans="1:11" ht="29.5" thickBot="1" x14ac:dyDescent="0.4">
      <c r="A160" s="158"/>
      <c r="B160" s="155"/>
      <c r="C160" s="157"/>
      <c r="D160" s="143" t="s">
        <v>392</v>
      </c>
      <c r="E160" s="146" t="s">
        <v>693</v>
      </c>
      <c r="F160" s="143" t="s">
        <v>534</v>
      </c>
      <c r="G160" s="143">
        <v>3</v>
      </c>
      <c r="H160" s="143" t="str">
        <f>"11"</f>
        <v>11</v>
      </c>
      <c r="I160" s="143" t="str">
        <f>"9"</f>
        <v>9</v>
      </c>
      <c r="J160" s="144">
        <v>0</v>
      </c>
      <c r="K160" s="143">
        <f t="shared" si="2"/>
        <v>0</v>
      </c>
    </row>
    <row r="161" spans="1:11" ht="15" thickBot="1" x14ac:dyDescent="0.4">
      <c r="A161" s="158"/>
      <c r="B161" s="155"/>
      <c r="C161" s="157"/>
      <c r="D161" s="143" t="s">
        <v>393</v>
      </c>
      <c r="E161" s="143" t="s">
        <v>694</v>
      </c>
      <c r="F161" s="143" t="s">
        <v>534</v>
      </c>
      <c r="G161" s="143">
        <v>9</v>
      </c>
      <c r="H161" s="143" t="str">
        <f>"8"</f>
        <v>8</v>
      </c>
      <c r="I161" s="143" t="str">
        <f>"0"</f>
        <v>0</v>
      </c>
      <c r="J161" s="144">
        <v>0</v>
      </c>
      <c r="K161" s="143">
        <f t="shared" si="2"/>
        <v>0</v>
      </c>
    </row>
    <row r="162" spans="1:11" ht="15" thickBot="1" x14ac:dyDescent="0.4">
      <c r="A162" s="158"/>
      <c r="B162" s="155" t="s">
        <v>394</v>
      </c>
      <c r="C162" s="156" t="s">
        <v>700</v>
      </c>
      <c r="D162" s="145" t="s">
        <v>41</v>
      </c>
      <c r="E162" s="145" t="s">
        <v>533</v>
      </c>
      <c r="F162" s="145" t="s">
        <v>534</v>
      </c>
      <c r="G162" s="145">
        <v>6</v>
      </c>
      <c r="H162" s="145" t="str">
        <f>"31"</f>
        <v>31</v>
      </c>
      <c r="I162" s="145" t="str">
        <f>"26"</f>
        <v>26</v>
      </c>
      <c r="J162" s="144">
        <v>0</v>
      </c>
      <c r="K162" s="145">
        <f t="shared" si="2"/>
        <v>0</v>
      </c>
    </row>
    <row r="163" spans="1:11" ht="15" thickBot="1" x14ac:dyDescent="0.4">
      <c r="A163" s="158"/>
      <c r="B163" s="155"/>
      <c r="C163" s="156"/>
      <c r="D163" s="145" t="s">
        <v>696</v>
      </c>
      <c r="E163" s="145" t="s">
        <v>683</v>
      </c>
      <c r="F163" s="145" t="s">
        <v>534</v>
      </c>
      <c r="G163" s="145">
        <v>1</v>
      </c>
      <c r="H163" s="145"/>
      <c r="I163" s="145" t="str">
        <f>"25"</f>
        <v>25</v>
      </c>
      <c r="J163" s="144">
        <v>0</v>
      </c>
      <c r="K163" s="145">
        <f t="shared" si="2"/>
        <v>0</v>
      </c>
    </row>
    <row r="164" spans="1:11" ht="15" thickBot="1" x14ac:dyDescent="0.4">
      <c r="A164" s="158"/>
      <c r="B164" s="155"/>
      <c r="C164" s="156"/>
      <c r="D164" s="145" t="s">
        <v>395</v>
      </c>
      <c r="E164" s="145" t="s">
        <v>697</v>
      </c>
      <c r="F164" s="145" t="s">
        <v>534</v>
      </c>
      <c r="G164" s="145">
        <v>1</v>
      </c>
      <c r="H164" s="145"/>
      <c r="I164" s="145" t="str">
        <f>"24"</f>
        <v>24</v>
      </c>
      <c r="J164" s="144">
        <v>0</v>
      </c>
      <c r="K164" s="145">
        <f t="shared" si="2"/>
        <v>0</v>
      </c>
    </row>
    <row r="165" spans="1:11" ht="15" thickBot="1" x14ac:dyDescent="0.4">
      <c r="A165" s="158"/>
      <c r="B165" s="155"/>
      <c r="C165" s="156"/>
      <c r="D165" s="145" t="s">
        <v>13</v>
      </c>
      <c r="E165" s="145" t="s">
        <v>698</v>
      </c>
      <c r="F165" s="145" t="s">
        <v>534</v>
      </c>
      <c r="G165" s="145">
        <v>12</v>
      </c>
      <c r="H165" s="145" t="str">
        <f>"23"</f>
        <v>23</v>
      </c>
      <c r="I165" s="145" t="str">
        <f>"12"</f>
        <v>12</v>
      </c>
      <c r="J165" s="144">
        <v>0</v>
      </c>
      <c r="K165" s="145">
        <f t="shared" si="2"/>
        <v>0</v>
      </c>
    </row>
    <row r="166" spans="1:11" ht="15" thickBot="1" x14ac:dyDescent="0.4">
      <c r="A166" s="158"/>
      <c r="B166" s="155"/>
      <c r="C166" s="156"/>
      <c r="D166" s="145" t="s">
        <v>14</v>
      </c>
      <c r="E166" s="145" t="s">
        <v>699</v>
      </c>
      <c r="F166" s="145" t="s">
        <v>534</v>
      </c>
      <c r="G166" s="145">
        <v>12</v>
      </c>
      <c r="H166" s="145" t="str">
        <f>"11"</f>
        <v>11</v>
      </c>
      <c r="I166" s="145" t="str">
        <f>"0"</f>
        <v>0</v>
      </c>
      <c r="J166" s="144">
        <v>0</v>
      </c>
      <c r="K166" s="145">
        <f t="shared" si="2"/>
        <v>0</v>
      </c>
    </row>
    <row r="167" spans="1:11" ht="15" thickBot="1" x14ac:dyDescent="0.4">
      <c r="A167" s="158"/>
      <c r="B167" s="155" t="s">
        <v>396</v>
      </c>
      <c r="C167" s="157" t="s">
        <v>710</v>
      </c>
      <c r="D167" s="143" t="s">
        <v>43</v>
      </c>
      <c r="E167" s="143" t="s">
        <v>533</v>
      </c>
      <c r="F167" s="143" t="s">
        <v>534</v>
      </c>
      <c r="G167" s="143">
        <v>6</v>
      </c>
      <c r="H167" s="143" t="str">
        <f>"31"</f>
        <v>31</v>
      </c>
      <c r="I167" s="143" t="str">
        <f>"26"</f>
        <v>26</v>
      </c>
      <c r="J167" s="144">
        <v>0</v>
      </c>
      <c r="K167" s="143">
        <f t="shared" si="2"/>
        <v>0</v>
      </c>
    </row>
    <row r="168" spans="1:11" ht="15" thickBot="1" x14ac:dyDescent="0.4">
      <c r="A168" s="158"/>
      <c r="B168" s="155"/>
      <c r="C168" s="157"/>
      <c r="D168" s="143" t="s">
        <v>701</v>
      </c>
      <c r="E168" s="143" t="s">
        <v>552</v>
      </c>
      <c r="F168" s="143" t="s">
        <v>534</v>
      </c>
      <c r="G168" s="143">
        <v>6</v>
      </c>
      <c r="H168" s="143" t="str">
        <f>"25"</f>
        <v>25</v>
      </c>
      <c r="I168" s="143" t="str">
        <f>"20"</f>
        <v>20</v>
      </c>
      <c r="J168" s="144">
        <v>0</v>
      </c>
      <c r="K168" s="143">
        <f t="shared" si="2"/>
        <v>0</v>
      </c>
    </row>
    <row r="169" spans="1:11" ht="15" thickBot="1" x14ac:dyDescent="0.4">
      <c r="A169" s="158"/>
      <c r="B169" s="155"/>
      <c r="C169" s="157"/>
      <c r="D169" s="143" t="s">
        <v>397</v>
      </c>
      <c r="E169" s="143" t="s">
        <v>702</v>
      </c>
      <c r="F169" s="143" t="s">
        <v>534</v>
      </c>
      <c r="G169" s="143">
        <v>1</v>
      </c>
      <c r="H169" s="143"/>
      <c r="I169" s="143" t="str">
        <f>"19"</f>
        <v>19</v>
      </c>
      <c r="J169" s="144">
        <v>0</v>
      </c>
      <c r="K169" s="143">
        <f t="shared" si="2"/>
        <v>0</v>
      </c>
    </row>
    <row r="170" spans="1:11" ht="58.5" thickBot="1" x14ac:dyDescent="0.4">
      <c r="A170" s="158"/>
      <c r="B170" s="155"/>
      <c r="C170" s="157"/>
      <c r="D170" s="143" t="s">
        <v>398</v>
      </c>
      <c r="E170" s="146" t="s">
        <v>703</v>
      </c>
      <c r="F170" s="143" t="s">
        <v>534</v>
      </c>
      <c r="G170" s="143">
        <v>8</v>
      </c>
      <c r="H170" s="143" t="str">
        <f>"18"</f>
        <v>18</v>
      </c>
      <c r="I170" s="143" t="str">
        <f>"11"</f>
        <v>11</v>
      </c>
      <c r="J170" s="144">
        <v>0</v>
      </c>
      <c r="K170" s="143">
        <f t="shared" si="2"/>
        <v>0</v>
      </c>
    </row>
    <row r="171" spans="1:11" ht="29.5" thickBot="1" x14ac:dyDescent="0.4">
      <c r="A171" s="158"/>
      <c r="B171" s="155"/>
      <c r="C171" s="157"/>
      <c r="D171" s="143" t="s">
        <v>18</v>
      </c>
      <c r="E171" s="146" t="s">
        <v>704</v>
      </c>
      <c r="F171" s="143" t="s">
        <v>534</v>
      </c>
      <c r="G171" s="143">
        <v>1</v>
      </c>
      <c r="H171" s="143"/>
      <c r="I171" s="143" t="str">
        <f>"10"</f>
        <v>10</v>
      </c>
      <c r="J171" s="144">
        <v>0</v>
      </c>
      <c r="K171" s="143">
        <f t="shared" si="2"/>
        <v>0</v>
      </c>
    </row>
    <row r="172" spans="1:11" ht="15" thickBot="1" x14ac:dyDescent="0.4">
      <c r="A172" s="158"/>
      <c r="B172" s="155"/>
      <c r="C172" s="157"/>
      <c r="D172" s="143" t="s">
        <v>399</v>
      </c>
      <c r="E172" s="143" t="s">
        <v>705</v>
      </c>
      <c r="F172" s="143" t="s">
        <v>534</v>
      </c>
      <c r="G172" s="143">
        <v>1</v>
      </c>
      <c r="H172" s="143"/>
      <c r="I172" s="143" t="str">
        <f>"9"</f>
        <v>9</v>
      </c>
      <c r="J172" s="144">
        <v>0</v>
      </c>
      <c r="K172" s="143">
        <f t="shared" si="2"/>
        <v>0</v>
      </c>
    </row>
    <row r="173" spans="1:11" ht="15" thickBot="1" x14ac:dyDescent="0.4">
      <c r="A173" s="158"/>
      <c r="B173" s="155"/>
      <c r="C173" s="157"/>
      <c r="D173" s="143" t="s">
        <v>400</v>
      </c>
      <c r="E173" s="143" t="s">
        <v>706</v>
      </c>
      <c r="F173" s="143" t="s">
        <v>534</v>
      </c>
      <c r="G173" s="143">
        <v>1</v>
      </c>
      <c r="H173" s="143"/>
      <c r="I173" s="143" t="str">
        <f>"8"</f>
        <v>8</v>
      </c>
      <c r="J173" s="144">
        <v>0</v>
      </c>
      <c r="K173" s="143">
        <f t="shared" si="2"/>
        <v>0</v>
      </c>
    </row>
    <row r="174" spans="1:11" ht="58.5" thickBot="1" x14ac:dyDescent="0.4">
      <c r="A174" s="158"/>
      <c r="B174" s="155"/>
      <c r="C174" s="157"/>
      <c r="D174" s="143" t="s">
        <v>401</v>
      </c>
      <c r="E174" s="146" t="s">
        <v>707</v>
      </c>
      <c r="F174" s="143" t="s">
        <v>534</v>
      </c>
      <c r="G174" s="143">
        <v>2</v>
      </c>
      <c r="H174" s="143" t="str">
        <f>"7"</f>
        <v>7</v>
      </c>
      <c r="I174" s="143" t="str">
        <f>"6"</f>
        <v>6</v>
      </c>
      <c r="J174" s="144">
        <v>0</v>
      </c>
      <c r="K174" s="143">
        <f t="shared" si="2"/>
        <v>0</v>
      </c>
    </row>
    <row r="175" spans="1:11" ht="58.5" thickBot="1" x14ac:dyDescent="0.4">
      <c r="A175" s="158"/>
      <c r="B175" s="155"/>
      <c r="C175" s="157"/>
      <c r="D175" s="143" t="s">
        <v>402</v>
      </c>
      <c r="E175" s="146" t="s">
        <v>708</v>
      </c>
      <c r="F175" s="143" t="s">
        <v>534</v>
      </c>
      <c r="G175" s="143">
        <v>2</v>
      </c>
      <c r="H175" s="143" t="str">
        <f>"5"</f>
        <v>5</v>
      </c>
      <c r="I175" s="143" t="str">
        <f>"4"</f>
        <v>4</v>
      </c>
      <c r="J175" s="144">
        <v>0</v>
      </c>
      <c r="K175" s="143">
        <f t="shared" si="2"/>
        <v>0</v>
      </c>
    </row>
    <row r="176" spans="1:11" ht="58.5" thickBot="1" x14ac:dyDescent="0.4">
      <c r="A176" s="158"/>
      <c r="B176" s="155"/>
      <c r="C176" s="157"/>
      <c r="D176" s="143" t="s">
        <v>16</v>
      </c>
      <c r="E176" s="149" t="s">
        <v>709</v>
      </c>
      <c r="F176" s="143" t="s">
        <v>534</v>
      </c>
      <c r="G176" s="143">
        <v>4</v>
      </c>
      <c r="H176" s="143" t="str">
        <f>"3"</f>
        <v>3</v>
      </c>
      <c r="I176" s="143" t="str">
        <f>"0"</f>
        <v>0</v>
      </c>
      <c r="J176" s="144">
        <v>0</v>
      </c>
      <c r="K176" s="143">
        <f t="shared" si="2"/>
        <v>0</v>
      </c>
    </row>
    <row r="177" spans="1:11" ht="15" thickBot="1" x14ac:dyDescent="0.4">
      <c r="A177" s="158"/>
      <c r="B177" s="155" t="s">
        <v>403</v>
      </c>
      <c r="C177" s="156" t="s">
        <v>713</v>
      </c>
      <c r="D177" s="145" t="s">
        <v>45</v>
      </c>
      <c r="E177" s="145" t="s">
        <v>533</v>
      </c>
      <c r="F177" s="145" t="s">
        <v>534</v>
      </c>
      <c r="G177" s="145">
        <v>6</v>
      </c>
      <c r="H177" s="145" t="str">
        <f>"31"</f>
        <v>31</v>
      </c>
      <c r="I177" s="145" t="str">
        <f>"26"</f>
        <v>26</v>
      </c>
      <c r="J177" s="144">
        <v>0</v>
      </c>
      <c r="K177" s="145">
        <f t="shared" si="2"/>
        <v>0</v>
      </c>
    </row>
    <row r="178" spans="1:11" ht="15" thickBot="1" x14ac:dyDescent="0.4">
      <c r="A178" s="158"/>
      <c r="B178" s="155"/>
      <c r="C178" s="156"/>
      <c r="D178" s="145" t="s">
        <v>711</v>
      </c>
      <c r="E178" s="145" t="s">
        <v>552</v>
      </c>
      <c r="F178" s="145" t="s">
        <v>534</v>
      </c>
      <c r="G178" s="145">
        <v>2</v>
      </c>
      <c r="H178" s="145" t="str">
        <f>"25"</f>
        <v>25</v>
      </c>
      <c r="I178" s="145" t="str">
        <f>"24"</f>
        <v>24</v>
      </c>
      <c r="J178" s="144">
        <v>0</v>
      </c>
      <c r="K178" s="145">
        <f t="shared" si="2"/>
        <v>0</v>
      </c>
    </row>
    <row r="179" spans="1:11" ht="15" thickBot="1" x14ac:dyDescent="0.4">
      <c r="A179" s="158"/>
      <c r="B179" s="155"/>
      <c r="C179" s="156"/>
      <c r="D179" s="145" t="s">
        <v>404</v>
      </c>
      <c r="E179" s="145" t="s">
        <v>712</v>
      </c>
      <c r="F179" s="145" t="s">
        <v>534</v>
      </c>
      <c r="G179" s="145">
        <v>24</v>
      </c>
      <c r="H179" s="145" t="str">
        <f>"23"</f>
        <v>23</v>
      </c>
      <c r="I179" s="145" t="str">
        <f>"0"</f>
        <v>0</v>
      </c>
      <c r="J179" s="144">
        <v>0</v>
      </c>
      <c r="K179" s="145">
        <f t="shared" si="2"/>
        <v>0</v>
      </c>
    </row>
    <row r="180" spans="1:11" ht="44" thickBot="1" x14ac:dyDescent="0.4">
      <c r="A180" s="158" t="s">
        <v>869</v>
      </c>
      <c r="B180" s="155" t="s">
        <v>405</v>
      </c>
      <c r="C180" s="157" t="s">
        <v>723</v>
      </c>
      <c r="D180" s="143" t="s">
        <v>42</v>
      </c>
      <c r="E180" s="146" t="s">
        <v>715</v>
      </c>
      <c r="F180" s="143" t="s">
        <v>534</v>
      </c>
      <c r="G180" s="143">
        <v>1</v>
      </c>
      <c r="H180" s="143"/>
      <c r="I180" s="143" t="str">
        <f>"17"</f>
        <v>17</v>
      </c>
      <c r="J180" s="144">
        <v>0</v>
      </c>
      <c r="K180" s="143">
        <f t="shared" si="2"/>
        <v>0</v>
      </c>
    </row>
    <row r="181" spans="1:11" ht="87.5" thickBot="1" x14ac:dyDescent="0.4">
      <c r="A181" s="158"/>
      <c r="B181" s="155"/>
      <c r="C181" s="157"/>
      <c r="D181" s="143" t="s">
        <v>268</v>
      </c>
      <c r="E181" s="146" t="s">
        <v>716</v>
      </c>
      <c r="F181" s="143" t="s">
        <v>534</v>
      </c>
      <c r="G181" s="143">
        <v>2</v>
      </c>
      <c r="H181" s="143" t="str">
        <f>"16"</f>
        <v>16</v>
      </c>
      <c r="I181" s="143" t="str">
        <f>"15"</f>
        <v>15</v>
      </c>
      <c r="J181" s="144">
        <v>0</v>
      </c>
      <c r="K181" s="143">
        <f t="shared" si="2"/>
        <v>0</v>
      </c>
    </row>
    <row r="182" spans="1:11" ht="73" thickBot="1" x14ac:dyDescent="0.4">
      <c r="A182" s="158"/>
      <c r="B182" s="155"/>
      <c r="C182" s="157"/>
      <c r="D182" s="143" t="s">
        <v>269</v>
      </c>
      <c r="E182" s="146" t="s">
        <v>717</v>
      </c>
      <c r="F182" s="143" t="s">
        <v>534</v>
      </c>
      <c r="G182" s="143">
        <v>2</v>
      </c>
      <c r="H182" s="143" t="str">
        <f>"14"</f>
        <v>14</v>
      </c>
      <c r="I182" s="143" t="str">
        <f>"13"</f>
        <v>13</v>
      </c>
      <c r="J182" s="144">
        <v>0</v>
      </c>
      <c r="K182" s="143">
        <f t="shared" si="2"/>
        <v>0</v>
      </c>
    </row>
    <row r="183" spans="1:11" ht="73" thickBot="1" x14ac:dyDescent="0.4">
      <c r="A183" s="158"/>
      <c r="B183" s="155"/>
      <c r="C183" s="157"/>
      <c r="D183" s="143" t="s">
        <v>270</v>
      </c>
      <c r="E183" s="146" t="s">
        <v>718</v>
      </c>
      <c r="F183" s="143" t="s">
        <v>534</v>
      </c>
      <c r="G183" s="143">
        <v>2</v>
      </c>
      <c r="H183" s="143" t="str">
        <f>"12"</f>
        <v>12</v>
      </c>
      <c r="I183" s="143" t="str">
        <f>"11"</f>
        <v>11</v>
      </c>
      <c r="J183" s="144">
        <v>0</v>
      </c>
      <c r="K183" s="143">
        <f t="shared" si="2"/>
        <v>0</v>
      </c>
    </row>
    <row r="184" spans="1:11" ht="58.5" thickBot="1" x14ac:dyDescent="0.4">
      <c r="A184" s="158"/>
      <c r="B184" s="155"/>
      <c r="C184" s="157"/>
      <c r="D184" s="143" t="s">
        <v>271</v>
      </c>
      <c r="E184" s="146" t="s">
        <v>719</v>
      </c>
      <c r="F184" s="143" t="s">
        <v>534</v>
      </c>
      <c r="G184" s="143">
        <v>2</v>
      </c>
      <c r="H184" s="143" t="str">
        <f>"10"</f>
        <v>10</v>
      </c>
      <c r="I184" s="143" t="str">
        <f>"9"</f>
        <v>9</v>
      </c>
      <c r="J184" s="144">
        <v>0</v>
      </c>
      <c r="K184" s="143">
        <f t="shared" si="2"/>
        <v>0</v>
      </c>
    </row>
    <row r="185" spans="1:11" ht="44" thickBot="1" x14ac:dyDescent="0.4">
      <c r="A185" s="158"/>
      <c r="B185" s="155"/>
      <c r="C185" s="157"/>
      <c r="D185" s="143" t="s">
        <v>272</v>
      </c>
      <c r="E185" s="146" t="s">
        <v>720</v>
      </c>
      <c r="F185" s="143" t="s">
        <v>534</v>
      </c>
      <c r="G185" s="143">
        <v>1</v>
      </c>
      <c r="H185" s="143"/>
      <c r="I185" s="143" t="str">
        <f>"8"</f>
        <v>8</v>
      </c>
      <c r="J185" s="144">
        <v>0</v>
      </c>
      <c r="K185" s="143">
        <f t="shared" si="2"/>
        <v>0</v>
      </c>
    </row>
    <row r="186" spans="1:11" ht="73" thickBot="1" x14ac:dyDescent="0.4">
      <c r="A186" s="158"/>
      <c r="B186" s="155"/>
      <c r="C186" s="157"/>
      <c r="D186" s="143" t="s">
        <v>273</v>
      </c>
      <c r="E186" s="146" t="s">
        <v>721</v>
      </c>
      <c r="F186" s="143" t="s">
        <v>534</v>
      </c>
      <c r="G186" s="143">
        <v>4</v>
      </c>
      <c r="H186" s="143" t="str">
        <f>"7"</f>
        <v>7</v>
      </c>
      <c r="I186" s="143" t="str">
        <f>"4"</f>
        <v>4</v>
      </c>
      <c r="J186" s="144">
        <v>0</v>
      </c>
      <c r="K186" s="143">
        <f t="shared" si="2"/>
        <v>0</v>
      </c>
    </row>
    <row r="187" spans="1:11" ht="87.5" thickBot="1" x14ac:dyDescent="0.4">
      <c r="A187" s="158"/>
      <c r="B187" s="155"/>
      <c r="C187" s="157"/>
      <c r="D187" s="143" t="s">
        <v>44</v>
      </c>
      <c r="E187" s="146" t="s">
        <v>722</v>
      </c>
      <c r="F187" s="143" t="s">
        <v>534</v>
      </c>
      <c r="G187" s="143">
        <v>4</v>
      </c>
      <c r="H187" s="143" t="str">
        <f>"3"</f>
        <v>3</v>
      </c>
      <c r="I187" s="143" t="str">
        <f>"0"</f>
        <v>0</v>
      </c>
      <c r="J187" s="144">
        <v>0</v>
      </c>
      <c r="K187" s="143">
        <f t="shared" si="2"/>
        <v>0</v>
      </c>
    </row>
    <row r="188" spans="1:11" ht="232.5" thickBot="1" x14ac:dyDescent="0.4">
      <c r="A188" s="158"/>
      <c r="B188" s="151" t="s">
        <v>406</v>
      </c>
      <c r="C188" s="152" t="s">
        <v>725</v>
      </c>
      <c r="D188" s="145" t="s">
        <v>275</v>
      </c>
      <c r="E188" s="147" t="s">
        <v>724</v>
      </c>
      <c r="F188" s="145" t="s">
        <v>534</v>
      </c>
      <c r="G188" s="145">
        <v>17</v>
      </c>
      <c r="H188" s="145" t="str">
        <f>"16"</f>
        <v>16</v>
      </c>
      <c r="I188" s="145" t="str">
        <f>"0"</f>
        <v>0</v>
      </c>
      <c r="J188" s="144">
        <v>0</v>
      </c>
      <c r="K188" s="145">
        <f t="shared" si="2"/>
        <v>0</v>
      </c>
    </row>
    <row r="189" spans="1:11" ht="15" thickBot="1" x14ac:dyDescent="0.4">
      <c r="A189" s="158"/>
      <c r="B189" s="151" t="s">
        <v>407</v>
      </c>
      <c r="C189" s="150" t="s">
        <v>727</v>
      </c>
      <c r="D189" s="143" t="s">
        <v>408</v>
      </c>
      <c r="E189" s="143" t="s">
        <v>726</v>
      </c>
      <c r="F189" s="143" t="s">
        <v>534</v>
      </c>
      <c r="G189" s="143">
        <v>26</v>
      </c>
      <c r="H189" s="143" t="str">
        <f>"25"</f>
        <v>25</v>
      </c>
      <c r="I189" s="143" t="str">
        <f>"0"</f>
        <v>0</v>
      </c>
      <c r="J189" s="144">
        <v>0</v>
      </c>
      <c r="K189" s="143">
        <f t="shared" si="2"/>
        <v>0</v>
      </c>
    </row>
    <row r="190" spans="1:11" ht="44" thickBot="1" x14ac:dyDescent="0.4">
      <c r="A190" s="158"/>
      <c r="B190" s="155" t="s">
        <v>409</v>
      </c>
      <c r="C190" s="156" t="s">
        <v>742</v>
      </c>
      <c r="D190" s="145" t="s">
        <v>278</v>
      </c>
      <c r="E190" s="147" t="s">
        <v>728</v>
      </c>
      <c r="F190" s="145" t="s">
        <v>534</v>
      </c>
      <c r="G190" s="145">
        <v>2</v>
      </c>
      <c r="H190" s="145" t="str">
        <f>"24"</f>
        <v>24</v>
      </c>
      <c r="I190" s="145" t="str">
        <f>"23"</f>
        <v>23</v>
      </c>
      <c r="J190" s="144">
        <v>0</v>
      </c>
      <c r="K190" s="145">
        <f t="shared" si="2"/>
        <v>0</v>
      </c>
    </row>
    <row r="191" spans="1:11" ht="15" thickBot="1" x14ac:dyDescent="0.4">
      <c r="A191" s="158"/>
      <c r="B191" s="155"/>
      <c r="C191" s="156"/>
      <c r="D191" s="145" t="s">
        <v>279</v>
      </c>
      <c r="E191" s="145" t="s">
        <v>729</v>
      </c>
      <c r="F191" s="145" t="s">
        <v>534</v>
      </c>
      <c r="G191" s="145">
        <v>4</v>
      </c>
      <c r="H191" s="145" t="str">
        <f>"22"</f>
        <v>22</v>
      </c>
      <c r="I191" s="145" t="str">
        <f>"19"</f>
        <v>19</v>
      </c>
      <c r="J191" s="144">
        <v>0</v>
      </c>
      <c r="K191" s="145">
        <f t="shared" si="2"/>
        <v>0</v>
      </c>
    </row>
    <row r="192" spans="1:11" ht="44" thickBot="1" x14ac:dyDescent="0.4">
      <c r="A192" s="158"/>
      <c r="B192" s="155"/>
      <c r="C192" s="156"/>
      <c r="D192" s="145" t="s">
        <v>280</v>
      </c>
      <c r="E192" s="147" t="s">
        <v>730</v>
      </c>
      <c r="F192" s="145" t="s">
        <v>534</v>
      </c>
      <c r="G192" s="145">
        <v>1</v>
      </c>
      <c r="H192" s="145"/>
      <c r="I192" s="145" t="str">
        <f>"18"</f>
        <v>18</v>
      </c>
      <c r="J192" s="144">
        <v>0</v>
      </c>
      <c r="K192" s="145">
        <f t="shared" si="2"/>
        <v>0</v>
      </c>
    </row>
    <row r="193" spans="1:11" ht="44" thickBot="1" x14ac:dyDescent="0.4">
      <c r="A193" s="158"/>
      <c r="B193" s="155"/>
      <c r="C193" s="156"/>
      <c r="D193" s="145" t="s">
        <v>281</v>
      </c>
      <c r="E193" s="147" t="s">
        <v>731</v>
      </c>
      <c r="F193" s="145" t="s">
        <v>534</v>
      </c>
      <c r="G193" s="145">
        <v>1</v>
      </c>
      <c r="H193" s="145"/>
      <c r="I193" s="145" t="str">
        <f>"17"</f>
        <v>17</v>
      </c>
      <c r="J193" s="144">
        <v>0</v>
      </c>
      <c r="K193" s="145">
        <f t="shared" si="2"/>
        <v>0</v>
      </c>
    </row>
    <row r="194" spans="1:11" ht="29.5" thickBot="1" x14ac:dyDescent="0.4">
      <c r="A194" s="158"/>
      <c r="B194" s="155"/>
      <c r="C194" s="156"/>
      <c r="D194" s="145" t="s">
        <v>282</v>
      </c>
      <c r="E194" s="153" t="s">
        <v>732</v>
      </c>
      <c r="F194" s="145" t="s">
        <v>534</v>
      </c>
      <c r="G194" s="145">
        <v>1</v>
      </c>
      <c r="H194" s="145"/>
      <c r="I194" s="145" t="str">
        <f>"16"</f>
        <v>16</v>
      </c>
      <c r="J194" s="144">
        <v>0</v>
      </c>
      <c r="K194" s="145">
        <f t="shared" si="2"/>
        <v>0</v>
      </c>
    </row>
    <row r="195" spans="1:11" ht="44" thickBot="1" x14ac:dyDescent="0.4">
      <c r="A195" s="158"/>
      <c r="B195" s="155"/>
      <c r="C195" s="156"/>
      <c r="D195" s="145" t="s">
        <v>283</v>
      </c>
      <c r="E195" s="147" t="s">
        <v>733</v>
      </c>
      <c r="F195" s="145" t="s">
        <v>534</v>
      </c>
      <c r="G195" s="145">
        <v>3</v>
      </c>
      <c r="H195" s="145" t="str">
        <f>"15"</f>
        <v>15</v>
      </c>
      <c r="I195" s="145" t="str">
        <f>"13"</f>
        <v>13</v>
      </c>
      <c r="J195" s="144">
        <v>0</v>
      </c>
      <c r="K195" s="145">
        <f t="shared" ref="K195:K258" si="3">J195 * POWER( 2, I195)</f>
        <v>0</v>
      </c>
    </row>
    <row r="196" spans="1:11" ht="44" thickBot="1" x14ac:dyDescent="0.4">
      <c r="A196" s="158"/>
      <c r="B196" s="155"/>
      <c r="C196" s="156"/>
      <c r="D196" s="145" t="s">
        <v>284</v>
      </c>
      <c r="E196" s="147" t="s">
        <v>734</v>
      </c>
      <c r="F196" s="145" t="s">
        <v>534</v>
      </c>
      <c r="G196" s="145">
        <v>1</v>
      </c>
      <c r="H196" s="145"/>
      <c r="I196" s="145" t="str">
        <f>"12"</f>
        <v>12</v>
      </c>
      <c r="J196" s="144">
        <v>0</v>
      </c>
      <c r="K196" s="145">
        <f t="shared" si="3"/>
        <v>0</v>
      </c>
    </row>
    <row r="197" spans="1:11" ht="58.5" thickBot="1" x14ac:dyDescent="0.4">
      <c r="A197" s="158"/>
      <c r="B197" s="155"/>
      <c r="C197" s="156"/>
      <c r="D197" s="145" t="s">
        <v>285</v>
      </c>
      <c r="E197" s="147" t="s">
        <v>735</v>
      </c>
      <c r="F197" s="145" t="s">
        <v>534</v>
      </c>
      <c r="G197" s="145">
        <v>1</v>
      </c>
      <c r="H197" s="145"/>
      <c r="I197" s="145" t="str">
        <f>"11"</f>
        <v>11</v>
      </c>
      <c r="J197" s="144">
        <v>0</v>
      </c>
      <c r="K197" s="145">
        <f t="shared" si="3"/>
        <v>0</v>
      </c>
    </row>
    <row r="198" spans="1:11" ht="58.5" thickBot="1" x14ac:dyDescent="0.4">
      <c r="A198" s="158"/>
      <c r="B198" s="155"/>
      <c r="C198" s="156"/>
      <c r="D198" s="145" t="s">
        <v>286</v>
      </c>
      <c r="E198" s="147" t="s">
        <v>736</v>
      </c>
      <c r="F198" s="145" t="s">
        <v>534</v>
      </c>
      <c r="G198" s="145">
        <v>4</v>
      </c>
      <c r="H198" s="145" t="str">
        <f>"10"</f>
        <v>10</v>
      </c>
      <c r="I198" s="145" t="str">
        <f>"7"</f>
        <v>7</v>
      </c>
      <c r="J198" s="144">
        <v>0</v>
      </c>
      <c r="K198" s="145">
        <f t="shared" si="3"/>
        <v>0</v>
      </c>
    </row>
    <row r="199" spans="1:11" ht="44" thickBot="1" x14ac:dyDescent="0.4">
      <c r="A199" s="158"/>
      <c r="B199" s="155"/>
      <c r="C199" s="156"/>
      <c r="D199" s="145" t="s">
        <v>287</v>
      </c>
      <c r="E199" s="147" t="s">
        <v>737</v>
      </c>
      <c r="F199" s="145" t="s">
        <v>534</v>
      </c>
      <c r="G199" s="145">
        <v>1</v>
      </c>
      <c r="H199" s="145"/>
      <c r="I199" s="145" t="str">
        <f>"6"</f>
        <v>6</v>
      </c>
      <c r="J199" s="144">
        <v>0</v>
      </c>
      <c r="K199" s="145">
        <f t="shared" si="3"/>
        <v>0</v>
      </c>
    </row>
    <row r="200" spans="1:11" ht="44" thickBot="1" x14ac:dyDescent="0.4">
      <c r="A200" s="158"/>
      <c r="B200" s="155"/>
      <c r="C200" s="156"/>
      <c r="D200" s="145" t="s">
        <v>288</v>
      </c>
      <c r="E200" s="147" t="s">
        <v>738</v>
      </c>
      <c r="F200" s="145" t="s">
        <v>534</v>
      </c>
      <c r="G200" s="145">
        <v>1</v>
      </c>
      <c r="H200" s="145"/>
      <c r="I200" s="145" t="str">
        <f>"5"</f>
        <v>5</v>
      </c>
      <c r="J200" s="144">
        <v>0</v>
      </c>
      <c r="K200" s="145">
        <f t="shared" si="3"/>
        <v>0</v>
      </c>
    </row>
    <row r="201" spans="1:11" ht="44" thickBot="1" x14ac:dyDescent="0.4">
      <c r="A201" s="158"/>
      <c r="B201" s="155"/>
      <c r="C201" s="156"/>
      <c r="D201" s="145" t="s">
        <v>289</v>
      </c>
      <c r="E201" s="147" t="s">
        <v>739</v>
      </c>
      <c r="F201" s="145" t="s">
        <v>534</v>
      </c>
      <c r="G201" s="145">
        <v>1</v>
      </c>
      <c r="H201" s="145"/>
      <c r="I201" s="145" t="str">
        <f>"4"</f>
        <v>4</v>
      </c>
      <c r="J201" s="144">
        <v>0</v>
      </c>
      <c r="K201" s="145">
        <f t="shared" si="3"/>
        <v>0</v>
      </c>
    </row>
    <row r="202" spans="1:11" ht="29.5" thickBot="1" x14ac:dyDescent="0.4">
      <c r="A202" s="158"/>
      <c r="B202" s="155"/>
      <c r="C202" s="156"/>
      <c r="D202" s="145" t="s">
        <v>290</v>
      </c>
      <c r="E202" s="147" t="s">
        <v>740</v>
      </c>
      <c r="F202" s="145" t="s">
        <v>534</v>
      </c>
      <c r="G202" s="145">
        <v>2</v>
      </c>
      <c r="H202" s="145" t="str">
        <f>"3"</f>
        <v>3</v>
      </c>
      <c r="I202" s="145" t="str">
        <f>"2"</f>
        <v>2</v>
      </c>
      <c r="J202" s="144">
        <v>0</v>
      </c>
      <c r="K202" s="145">
        <f t="shared" si="3"/>
        <v>0</v>
      </c>
    </row>
    <row r="203" spans="1:11" ht="29.5" thickBot="1" x14ac:dyDescent="0.4">
      <c r="A203" s="158"/>
      <c r="B203" s="155"/>
      <c r="C203" s="156"/>
      <c r="D203" s="145" t="s">
        <v>291</v>
      </c>
      <c r="E203" s="147" t="s">
        <v>741</v>
      </c>
      <c r="F203" s="145" t="s">
        <v>534</v>
      </c>
      <c r="G203" s="145">
        <v>2</v>
      </c>
      <c r="H203" s="145" t="str">
        <f>"1"</f>
        <v>1</v>
      </c>
      <c r="I203" s="145" t="str">
        <f>"0"</f>
        <v>0</v>
      </c>
      <c r="J203" s="144">
        <v>0</v>
      </c>
      <c r="K203" s="145">
        <f t="shared" si="3"/>
        <v>0</v>
      </c>
    </row>
    <row r="204" spans="1:11" ht="15" thickBot="1" x14ac:dyDescent="0.4">
      <c r="A204" s="158"/>
      <c r="B204" s="155" t="s">
        <v>410</v>
      </c>
      <c r="C204" s="157" t="s">
        <v>757</v>
      </c>
      <c r="D204" s="143" t="s">
        <v>293</v>
      </c>
      <c r="E204" s="143" t="s">
        <v>743</v>
      </c>
      <c r="F204" s="143" t="s">
        <v>534</v>
      </c>
      <c r="G204" s="143">
        <v>1</v>
      </c>
      <c r="H204" s="143"/>
      <c r="I204" s="143" t="str">
        <f>"25"</f>
        <v>25</v>
      </c>
      <c r="J204" s="144">
        <v>0</v>
      </c>
      <c r="K204" s="143">
        <f t="shared" si="3"/>
        <v>0</v>
      </c>
    </row>
    <row r="205" spans="1:11" ht="15" thickBot="1" x14ac:dyDescent="0.4">
      <c r="A205" s="158"/>
      <c r="B205" s="155"/>
      <c r="C205" s="157"/>
      <c r="D205" s="143" t="s">
        <v>294</v>
      </c>
      <c r="E205" s="143" t="s">
        <v>744</v>
      </c>
      <c r="F205" s="143" t="s">
        <v>534</v>
      </c>
      <c r="G205" s="143">
        <v>1</v>
      </c>
      <c r="H205" s="143"/>
      <c r="I205" s="143" t="str">
        <f>"24"</f>
        <v>24</v>
      </c>
      <c r="J205" s="144">
        <v>0</v>
      </c>
      <c r="K205" s="143">
        <f t="shared" si="3"/>
        <v>0</v>
      </c>
    </row>
    <row r="206" spans="1:11" ht="15" thickBot="1" x14ac:dyDescent="0.4">
      <c r="A206" s="158"/>
      <c r="B206" s="155"/>
      <c r="C206" s="157"/>
      <c r="D206" s="143" t="s">
        <v>295</v>
      </c>
      <c r="E206" s="143" t="s">
        <v>745</v>
      </c>
      <c r="F206" s="143" t="s">
        <v>534</v>
      </c>
      <c r="G206" s="143">
        <v>1</v>
      </c>
      <c r="H206" s="143"/>
      <c r="I206" s="143" t="str">
        <f>"23"</f>
        <v>23</v>
      </c>
      <c r="J206" s="144">
        <v>0</v>
      </c>
      <c r="K206" s="143">
        <f t="shared" si="3"/>
        <v>0</v>
      </c>
    </row>
    <row r="207" spans="1:11" ht="15" thickBot="1" x14ac:dyDescent="0.4">
      <c r="A207" s="158"/>
      <c r="B207" s="155"/>
      <c r="C207" s="157"/>
      <c r="D207" s="143" t="s">
        <v>296</v>
      </c>
      <c r="E207" s="143" t="s">
        <v>746</v>
      </c>
      <c r="F207" s="143" t="s">
        <v>534</v>
      </c>
      <c r="G207" s="143">
        <v>1</v>
      </c>
      <c r="H207" s="143"/>
      <c r="I207" s="143" t="str">
        <f>"22"</f>
        <v>22</v>
      </c>
      <c r="J207" s="144">
        <v>0</v>
      </c>
      <c r="K207" s="143">
        <f t="shared" si="3"/>
        <v>0</v>
      </c>
    </row>
    <row r="208" spans="1:11" ht="15" thickBot="1" x14ac:dyDescent="0.4">
      <c r="A208" s="158"/>
      <c r="B208" s="155"/>
      <c r="C208" s="157"/>
      <c r="D208" s="143" t="s">
        <v>297</v>
      </c>
      <c r="E208" s="143" t="s">
        <v>747</v>
      </c>
      <c r="F208" s="143" t="s">
        <v>534</v>
      </c>
      <c r="G208" s="143">
        <v>1</v>
      </c>
      <c r="H208" s="143"/>
      <c r="I208" s="143" t="str">
        <f>"21"</f>
        <v>21</v>
      </c>
      <c r="J208" s="144">
        <v>0</v>
      </c>
      <c r="K208" s="143">
        <f t="shared" si="3"/>
        <v>0</v>
      </c>
    </row>
    <row r="209" spans="1:11" ht="15" thickBot="1" x14ac:dyDescent="0.4">
      <c r="A209" s="158"/>
      <c r="B209" s="155"/>
      <c r="C209" s="157"/>
      <c r="D209" s="143" t="s">
        <v>298</v>
      </c>
      <c r="E209" s="143" t="s">
        <v>748</v>
      </c>
      <c r="F209" s="143" t="s">
        <v>534</v>
      </c>
      <c r="G209" s="143">
        <v>1</v>
      </c>
      <c r="H209" s="143"/>
      <c r="I209" s="143" t="str">
        <f>"20"</f>
        <v>20</v>
      </c>
      <c r="J209" s="144">
        <v>0</v>
      </c>
      <c r="K209" s="143">
        <f t="shared" si="3"/>
        <v>0</v>
      </c>
    </row>
    <row r="210" spans="1:11" ht="29.5" thickBot="1" x14ac:dyDescent="0.4">
      <c r="A210" s="158"/>
      <c r="B210" s="155"/>
      <c r="C210" s="157"/>
      <c r="D210" s="143" t="s">
        <v>299</v>
      </c>
      <c r="E210" s="146" t="s">
        <v>749</v>
      </c>
      <c r="F210" s="143" t="s">
        <v>534</v>
      </c>
      <c r="G210" s="143">
        <v>1</v>
      </c>
      <c r="H210" s="143"/>
      <c r="I210" s="143" t="str">
        <f>"19"</f>
        <v>19</v>
      </c>
      <c r="J210" s="144">
        <v>0</v>
      </c>
      <c r="K210" s="143">
        <f t="shared" si="3"/>
        <v>0</v>
      </c>
    </row>
    <row r="211" spans="1:11" ht="15" thickBot="1" x14ac:dyDescent="0.4">
      <c r="A211" s="158"/>
      <c r="B211" s="155"/>
      <c r="C211" s="157"/>
      <c r="D211" s="143" t="s">
        <v>300</v>
      </c>
      <c r="E211" s="143" t="s">
        <v>750</v>
      </c>
      <c r="F211" s="143" t="s">
        <v>534</v>
      </c>
      <c r="G211" s="143">
        <v>5</v>
      </c>
      <c r="H211" s="143" t="str">
        <f>"18"</f>
        <v>18</v>
      </c>
      <c r="I211" s="143" t="str">
        <f>"14"</f>
        <v>14</v>
      </c>
      <c r="J211" s="144">
        <v>0</v>
      </c>
      <c r="K211" s="143">
        <f t="shared" si="3"/>
        <v>0</v>
      </c>
    </row>
    <row r="212" spans="1:11" ht="15" thickBot="1" x14ac:dyDescent="0.4">
      <c r="A212" s="158"/>
      <c r="B212" s="155"/>
      <c r="C212" s="157"/>
      <c r="D212" s="143" t="s">
        <v>301</v>
      </c>
      <c r="E212" s="143" t="s">
        <v>751</v>
      </c>
      <c r="F212" s="143" t="s">
        <v>534</v>
      </c>
      <c r="G212" s="143">
        <v>1</v>
      </c>
      <c r="H212" s="143"/>
      <c r="I212" s="143" t="str">
        <f>"13"</f>
        <v>13</v>
      </c>
      <c r="J212" s="144">
        <v>0</v>
      </c>
      <c r="K212" s="143">
        <f t="shared" si="3"/>
        <v>0</v>
      </c>
    </row>
    <row r="213" spans="1:11" ht="29.5" thickBot="1" x14ac:dyDescent="0.4">
      <c r="A213" s="158"/>
      <c r="B213" s="155"/>
      <c r="C213" s="157"/>
      <c r="D213" s="143" t="s">
        <v>302</v>
      </c>
      <c r="E213" s="146" t="s">
        <v>752</v>
      </c>
      <c r="F213" s="143" t="s">
        <v>534</v>
      </c>
      <c r="G213" s="143">
        <v>8</v>
      </c>
      <c r="H213" s="143" t="str">
        <f>"12"</f>
        <v>12</v>
      </c>
      <c r="I213" s="143" t="str">
        <f>"5"</f>
        <v>5</v>
      </c>
      <c r="J213" s="144">
        <v>0</v>
      </c>
      <c r="K213" s="143">
        <f t="shared" si="3"/>
        <v>0</v>
      </c>
    </row>
    <row r="214" spans="1:11" ht="15" thickBot="1" x14ac:dyDescent="0.4">
      <c r="A214" s="158"/>
      <c r="B214" s="155"/>
      <c r="C214" s="157"/>
      <c r="D214" s="143" t="s">
        <v>303</v>
      </c>
      <c r="E214" s="143" t="s">
        <v>753</v>
      </c>
      <c r="F214" s="143" t="s">
        <v>534</v>
      </c>
      <c r="G214" s="143">
        <v>1</v>
      </c>
      <c r="H214" s="143"/>
      <c r="I214" s="143" t="str">
        <f>"4"</f>
        <v>4</v>
      </c>
      <c r="J214" s="144">
        <v>0</v>
      </c>
      <c r="K214" s="143">
        <f t="shared" si="3"/>
        <v>0</v>
      </c>
    </row>
    <row r="215" spans="1:11" ht="29.5" thickBot="1" x14ac:dyDescent="0.4">
      <c r="A215" s="158"/>
      <c r="B215" s="155"/>
      <c r="C215" s="157"/>
      <c r="D215" s="143" t="s">
        <v>304</v>
      </c>
      <c r="E215" s="146" t="s">
        <v>754</v>
      </c>
      <c r="F215" s="143" t="s">
        <v>534</v>
      </c>
      <c r="G215" s="143">
        <v>2</v>
      </c>
      <c r="H215" s="143" t="str">
        <f>"3"</f>
        <v>3</v>
      </c>
      <c r="I215" s="143" t="str">
        <f>"2"</f>
        <v>2</v>
      </c>
      <c r="J215" s="144">
        <v>0</v>
      </c>
      <c r="K215" s="143">
        <f t="shared" si="3"/>
        <v>0</v>
      </c>
    </row>
    <row r="216" spans="1:11" ht="15" thickBot="1" x14ac:dyDescent="0.4">
      <c r="A216" s="158"/>
      <c r="B216" s="155"/>
      <c r="C216" s="157"/>
      <c r="D216" s="143" t="s">
        <v>305</v>
      </c>
      <c r="E216" s="143" t="s">
        <v>755</v>
      </c>
      <c r="F216" s="143" t="s">
        <v>534</v>
      </c>
      <c r="G216" s="143">
        <v>1</v>
      </c>
      <c r="H216" s="143"/>
      <c r="I216" s="143" t="str">
        <f>"1"</f>
        <v>1</v>
      </c>
      <c r="J216" s="144">
        <v>0</v>
      </c>
      <c r="K216" s="143">
        <f t="shared" si="3"/>
        <v>0</v>
      </c>
    </row>
    <row r="217" spans="1:11" ht="15" thickBot="1" x14ac:dyDescent="0.4">
      <c r="A217" s="158"/>
      <c r="B217" s="155"/>
      <c r="C217" s="157"/>
      <c r="D217" s="143" t="s">
        <v>306</v>
      </c>
      <c r="E217" s="143" t="s">
        <v>756</v>
      </c>
      <c r="F217" s="143" t="s">
        <v>534</v>
      </c>
      <c r="G217" s="143">
        <v>1</v>
      </c>
      <c r="H217" s="143"/>
      <c r="I217" s="143" t="str">
        <f>"0"</f>
        <v>0</v>
      </c>
      <c r="J217" s="144">
        <v>0</v>
      </c>
      <c r="K217" s="143">
        <f t="shared" si="3"/>
        <v>0</v>
      </c>
    </row>
    <row r="218" spans="1:11" ht="15" thickBot="1" x14ac:dyDescent="0.4">
      <c r="A218" s="158"/>
      <c r="B218" s="155" t="s">
        <v>411</v>
      </c>
      <c r="C218" s="156" t="s">
        <v>763</v>
      </c>
      <c r="D218" s="145" t="s">
        <v>412</v>
      </c>
      <c r="E218" s="145" t="s">
        <v>758</v>
      </c>
      <c r="F218" s="145" t="s">
        <v>534</v>
      </c>
      <c r="G218" s="145">
        <v>4</v>
      </c>
      <c r="H218" s="145" t="str">
        <f>"25"</f>
        <v>25</v>
      </c>
      <c r="I218" s="145" t="str">
        <f>"22"</f>
        <v>22</v>
      </c>
      <c r="J218" s="144">
        <v>0</v>
      </c>
      <c r="K218" s="145">
        <f t="shared" si="3"/>
        <v>0</v>
      </c>
    </row>
    <row r="219" spans="1:11" ht="15" thickBot="1" x14ac:dyDescent="0.4">
      <c r="A219" s="158"/>
      <c r="B219" s="155"/>
      <c r="C219" s="156"/>
      <c r="D219" s="145" t="s">
        <v>19</v>
      </c>
      <c r="E219" s="145" t="s">
        <v>759</v>
      </c>
      <c r="F219" s="145" t="s">
        <v>534</v>
      </c>
      <c r="G219" s="145">
        <v>1</v>
      </c>
      <c r="H219" s="145"/>
      <c r="I219" s="145" t="str">
        <f>"21"</f>
        <v>21</v>
      </c>
      <c r="J219" s="144">
        <v>0</v>
      </c>
      <c r="K219" s="145">
        <f t="shared" si="3"/>
        <v>0</v>
      </c>
    </row>
    <row r="220" spans="1:11" ht="15" thickBot="1" x14ac:dyDescent="0.4">
      <c r="A220" s="158"/>
      <c r="B220" s="155"/>
      <c r="C220" s="156"/>
      <c r="D220" s="145" t="s">
        <v>308</v>
      </c>
      <c r="E220" s="145" t="s">
        <v>760</v>
      </c>
      <c r="F220" s="145" t="s">
        <v>534</v>
      </c>
      <c r="G220" s="145">
        <v>1</v>
      </c>
      <c r="H220" s="145"/>
      <c r="I220" s="145" t="str">
        <f>"20"</f>
        <v>20</v>
      </c>
      <c r="J220" s="144">
        <v>0</v>
      </c>
      <c r="K220" s="145">
        <f t="shared" si="3"/>
        <v>0</v>
      </c>
    </row>
    <row r="221" spans="1:11" ht="15" thickBot="1" x14ac:dyDescent="0.4">
      <c r="A221" s="158"/>
      <c r="B221" s="155"/>
      <c r="C221" s="156"/>
      <c r="D221" s="145" t="s">
        <v>309</v>
      </c>
      <c r="E221" s="145" t="s">
        <v>761</v>
      </c>
      <c r="F221" s="145" t="s">
        <v>534</v>
      </c>
      <c r="G221" s="145">
        <v>10</v>
      </c>
      <c r="H221" s="145" t="str">
        <f>"19"</f>
        <v>19</v>
      </c>
      <c r="I221" s="145" t="str">
        <f>"10"</f>
        <v>10</v>
      </c>
      <c r="J221" s="144">
        <v>0</v>
      </c>
      <c r="K221" s="145">
        <f t="shared" si="3"/>
        <v>0</v>
      </c>
    </row>
    <row r="222" spans="1:11" ht="15" thickBot="1" x14ac:dyDescent="0.4">
      <c r="A222" s="158"/>
      <c r="B222" s="155"/>
      <c r="C222" s="156"/>
      <c r="D222" s="145" t="s">
        <v>310</v>
      </c>
      <c r="E222" s="145" t="s">
        <v>762</v>
      </c>
      <c r="F222" s="145" t="s">
        <v>534</v>
      </c>
      <c r="G222" s="145">
        <v>10</v>
      </c>
      <c r="H222" s="145" t="str">
        <f>"9"</f>
        <v>9</v>
      </c>
      <c r="I222" s="145" t="str">
        <f>"0"</f>
        <v>0</v>
      </c>
      <c r="J222" s="144">
        <v>0</v>
      </c>
      <c r="K222" s="145">
        <f t="shared" si="3"/>
        <v>0</v>
      </c>
    </row>
    <row r="223" spans="1:11" ht="44" thickBot="1" x14ac:dyDescent="0.4">
      <c r="A223" s="158"/>
      <c r="B223" s="155" t="s">
        <v>413</v>
      </c>
      <c r="C223" s="157" t="s">
        <v>767</v>
      </c>
      <c r="D223" s="143" t="s">
        <v>312</v>
      </c>
      <c r="E223" s="146" t="s">
        <v>764</v>
      </c>
      <c r="F223" s="143" t="s">
        <v>534</v>
      </c>
      <c r="G223" s="143">
        <v>6</v>
      </c>
      <c r="H223" s="143" t="str">
        <f>"25"</f>
        <v>25</v>
      </c>
      <c r="I223" s="143" t="str">
        <f>"20"</f>
        <v>20</v>
      </c>
      <c r="J223" s="144">
        <v>0</v>
      </c>
      <c r="K223" s="143">
        <f t="shared" si="3"/>
        <v>0</v>
      </c>
    </row>
    <row r="224" spans="1:11" ht="15" thickBot="1" x14ac:dyDescent="0.4">
      <c r="A224" s="158"/>
      <c r="B224" s="155"/>
      <c r="C224" s="157"/>
      <c r="D224" s="143" t="s">
        <v>313</v>
      </c>
      <c r="E224" s="143" t="s">
        <v>765</v>
      </c>
      <c r="F224" s="143" t="s">
        <v>534</v>
      </c>
      <c r="G224" s="143">
        <v>10</v>
      </c>
      <c r="H224" s="143" t="str">
        <f>"19"</f>
        <v>19</v>
      </c>
      <c r="I224" s="143" t="str">
        <f>"10"</f>
        <v>10</v>
      </c>
      <c r="J224" s="144">
        <v>0</v>
      </c>
      <c r="K224" s="143">
        <f t="shared" si="3"/>
        <v>0</v>
      </c>
    </row>
    <row r="225" spans="1:11" ht="15" thickBot="1" x14ac:dyDescent="0.4">
      <c r="A225" s="158"/>
      <c r="B225" s="155"/>
      <c r="C225" s="157"/>
      <c r="D225" s="143" t="s">
        <v>314</v>
      </c>
      <c r="E225" s="143" t="s">
        <v>766</v>
      </c>
      <c r="F225" s="143" t="s">
        <v>534</v>
      </c>
      <c r="G225" s="143">
        <v>10</v>
      </c>
      <c r="H225" s="143" t="str">
        <f>"9"</f>
        <v>9</v>
      </c>
      <c r="I225" s="143" t="str">
        <f>"0"</f>
        <v>0</v>
      </c>
      <c r="J225" s="144">
        <v>0</v>
      </c>
      <c r="K225" s="143">
        <f t="shared" si="3"/>
        <v>0</v>
      </c>
    </row>
    <row r="226" spans="1:11" ht="44" thickBot="1" x14ac:dyDescent="0.4">
      <c r="A226" s="158"/>
      <c r="B226" s="155" t="s">
        <v>414</v>
      </c>
      <c r="C226" s="156" t="s">
        <v>770</v>
      </c>
      <c r="D226" s="145" t="s">
        <v>316</v>
      </c>
      <c r="E226" s="147" t="s">
        <v>768</v>
      </c>
      <c r="F226" s="145" t="s">
        <v>534</v>
      </c>
      <c r="G226" s="145">
        <v>9</v>
      </c>
      <c r="H226" s="145" t="str">
        <f>"17"</f>
        <v>17</v>
      </c>
      <c r="I226" s="145" t="str">
        <f>"9"</f>
        <v>9</v>
      </c>
      <c r="J226" s="144">
        <v>0</v>
      </c>
      <c r="K226" s="145">
        <f t="shared" si="3"/>
        <v>0</v>
      </c>
    </row>
    <row r="227" spans="1:11" ht="44" thickBot="1" x14ac:dyDescent="0.4">
      <c r="A227" s="158"/>
      <c r="B227" s="155"/>
      <c r="C227" s="156"/>
      <c r="D227" s="145" t="s">
        <v>317</v>
      </c>
      <c r="E227" s="147" t="s">
        <v>769</v>
      </c>
      <c r="F227" s="145" t="s">
        <v>534</v>
      </c>
      <c r="G227" s="145">
        <v>9</v>
      </c>
      <c r="H227" s="145" t="str">
        <f>"8"</f>
        <v>8</v>
      </c>
      <c r="I227" s="145" t="str">
        <f>"0"</f>
        <v>0</v>
      </c>
      <c r="J227" s="144">
        <v>0</v>
      </c>
      <c r="K227" s="145">
        <f t="shared" si="3"/>
        <v>0</v>
      </c>
    </row>
    <row r="228" spans="1:11" ht="15" thickBot="1" x14ac:dyDescent="0.4">
      <c r="A228" s="158"/>
      <c r="B228" s="155" t="s">
        <v>415</v>
      </c>
      <c r="C228" s="157" t="s">
        <v>775</v>
      </c>
      <c r="D228" s="143" t="s">
        <v>416</v>
      </c>
      <c r="E228" s="143" t="s">
        <v>771</v>
      </c>
      <c r="F228" s="143" t="s">
        <v>534</v>
      </c>
      <c r="G228" s="143">
        <v>1</v>
      </c>
      <c r="H228" s="143"/>
      <c r="I228" s="143" t="str">
        <f>"25"</f>
        <v>25</v>
      </c>
      <c r="J228" s="144">
        <v>0</v>
      </c>
      <c r="K228" s="143">
        <f t="shared" si="3"/>
        <v>0</v>
      </c>
    </row>
    <row r="229" spans="1:11" ht="44" thickBot="1" x14ac:dyDescent="0.4">
      <c r="A229" s="158"/>
      <c r="B229" s="155"/>
      <c r="C229" s="157"/>
      <c r="D229" s="143" t="s">
        <v>319</v>
      </c>
      <c r="E229" s="146" t="s">
        <v>772</v>
      </c>
      <c r="F229" s="143" t="s">
        <v>534</v>
      </c>
      <c r="G229" s="143">
        <v>7</v>
      </c>
      <c r="H229" s="143" t="str">
        <f>"24"</f>
        <v>24</v>
      </c>
      <c r="I229" s="143" t="str">
        <f>"18"</f>
        <v>18</v>
      </c>
      <c r="J229" s="144">
        <v>0</v>
      </c>
      <c r="K229" s="143">
        <f t="shared" si="3"/>
        <v>0</v>
      </c>
    </row>
    <row r="230" spans="1:11" ht="44" thickBot="1" x14ac:dyDescent="0.4">
      <c r="A230" s="158"/>
      <c r="B230" s="155"/>
      <c r="C230" s="157"/>
      <c r="D230" s="143" t="s">
        <v>320</v>
      </c>
      <c r="E230" s="146" t="s">
        <v>773</v>
      </c>
      <c r="F230" s="143" t="s">
        <v>534</v>
      </c>
      <c r="G230" s="143">
        <v>9</v>
      </c>
      <c r="H230" s="143" t="str">
        <f>"17"</f>
        <v>17</v>
      </c>
      <c r="I230" s="143" t="str">
        <f>"9"</f>
        <v>9</v>
      </c>
      <c r="J230" s="144">
        <v>0</v>
      </c>
      <c r="K230" s="143">
        <f t="shared" si="3"/>
        <v>0</v>
      </c>
    </row>
    <row r="231" spans="1:11" ht="44" thickBot="1" x14ac:dyDescent="0.4">
      <c r="A231" s="158"/>
      <c r="B231" s="155"/>
      <c r="C231" s="157"/>
      <c r="D231" s="143" t="s">
        <v>321</v>
      </c>
      <c r="E231" s="146" t="s">
        <v>774</v>
      </c>
      <c r="F231" s="143" t="s">
        <v>534</v>
      </c>
      <c r="G231" s="143">
        <v>9</v>
      </c>
      <c r="H231" s="143" t="str">
        <f>"8"</f>
        <v>8</v>
      </c>
      <c r="I231" s="143" t="str">
        <f>"0"</f>
        <v>0</v>
      </c>
      <c r="J231" s="144">
        <v>0</v>
      </c>
      <c r="K231" s="143">
        <f t="shared" si="3"/>
        <v>0</v>
      </c>
    </row>
    <row r="232" spans="1:11" ht="15" thickBot="1" x14ac:dyDescent="0.4">
      <c r="A232" s="158"/>
      <c r="B232" s="155" t="s">
        <v>417</v>
      </c>
      <c r="C232" s="156" t="s">
        <v>779</v>
      </c>
      <c r="D232" s="145" t="s">
        <v>323</v>
      </c>
      <c r="E232" s="145" t="s">
        <v>776</v>
      </c>
      <c r="F232" s="145" t="s">
        <v>534</v>
      </c>
      <c r="G232" s="145">
        <v>10</v>
      </c>
      <c r="H232" s="145" t="str">
        <f>"25"</f>
        <v>25</v>
      </c>
      <c r="I232" s="145" t="str">
        <f>"16"</f>
        <v>16</v>
      </c>
      <c r="J232" s="144">
        <v>0</v>
      </c>
      <c r="K232" s="145">
        <f t="shared" si="3"/>
        <v>0</v>
      </c>
    </row>
    <row r="233" spans="1:11" ht="15" thickBot="1" x14ac:dyDescent="0.4">
      <c r="A233" s="158"/>
      <c r="B233" s="155"/>
      <c r="C233" s="156"/>
      <c r="D233" s="145" t="s">
        <v>324</v>
      </c>
      <c r="E233" s="145" t="s">
        <v>777</v>
      </c>
      <c r="F233" s="145" t="s">
        <v>534</v>
      </c>
      <c r="G233" s="145">
        <v>10</v>
      </c>
      <c r="H233" s="145" t="str">
        <f>"15"</f>
        <v>15</v>
      </c>
      <c r="I233" s="145" t="str">
        <f>"6"</f>
        <v>6</v>
      </c>
      <c r="J233" s="144">
        <v>0</v>
      </c>
      <c r="K233" s="145">
        <f t="shared" si="3"/>
        <v>0</v>
      </c>
    </row>
    <row r="234" spans="1:11" ht="15" thickBot="1" x14ac:dyDescent="0.4">
      <c r="A234" s="158"/>
      <c r="B234" s="155"/>
      <c r="C234" s="156"/>
      <c r="D234" s="145" t="s">
        <v>325</v>
      </c>
      <c r="E234" s="145" t="s">
        <v>778</v>
      </c>
      <c r="F234" s="145" t="s">
        <v>534</v>
      </c>
      <c r="G234" s="145">
        <v>6</v>
      </c>
      <c r="H234" s="145" t="str">
        <f>"5"</f>
        <v>5</v>
      </c>
      <c r="I234" s="145" t="str">
        <f>"0"</f>
        <v>0</v>
      </c>
      <c r="J234" s="144">
        <v>0</v>
      </c>
      <c r="K234" s="145">
        <f t="shared" si="3"/>
        <v>0</v>
      </c>
    </row>
    <row r="235" spans="1:11" ht="15" thickBot="1" x14ac:dyDescent="0.4">
      <c r="A235" s="158"/>
      <c r="B235" s="155" t="s">
        <v>418</v>
      </c>
      <c r="C235" s="157" t="s">
        <v>783</v>
      </c>
      <c r="D235" s="143" t="s">
        <v>327</v>
      </c>
      <c r="E235" s="143" t="s">
        <v>780</v>
      </c>
      <c r="F235" s="143" t="s">
        <v>534</v>
      </c>
      <c r="G235" s="143">
        <v>1</v>
      </c>
      <c r="H235" s="143"/>
      <c r="I235" s="143" t="str">
        <f>"25"</f>
        <v>25</v>
      </c>
      <c r="J235" s="144">
        <v>0</v>
      </c>
      <c r="K235" s="143">
        <f t="shared" si="3"/>
        <v>0</v>
      </c>
    </row>
    <row r="236" spans="1:11" ht="15" thickBot="1" x14ac:dyDescent="0.4">
      <c r="A236" s="158"/>
      <c r="B236" s="155"/>
      <c r="C236" s="157"/>
      <c r="D236" s="143" t="s">
        <v>328</v>
      </c>
      <c r="E236" s="143" t="s">
        <v>781</v>
      </c>
      <c r="F236" s="143" t="s">
        <v>534</v>
      </c>
      <c r="G236" s="143">
        <v>11</v>
      </c>
      <c r="H236" s="143" t="str">
        <f>"24"</f>
        <v>24</v>
      </c>
      <c r="I236" s="143" t="str">
        <f>"14"</f>
        <v>14</v>
      </c>
      <c r="J236" s="144">
        <v>0</v>
      </c>
      <c r="K236" s="143">
        <f t="shared" si="3"/>
        <v>0</v>
      </c>
    </row>
    <row r="237" spans="1:11" ht="15" thickBot="1" x14ac:dyDescent="0.4">
      <c r="A237" s="158"/>
      <c r="B237" s="155"/>
      <c r="C237" s="157"/>
      <c r="D237" s="143" t="s">
        <v>329</v>
      </c>
      <c r="E237" s="143" t="s">
        <v>782</v>
      </c>
      <c r="F237" s="143" t="s">
        <v>534</v>
      </c>
      <c r="G237" s="143">
        <v>14</v>
      </c>
      <c r="H237" s="143" t="str">
        <f>"13"</f>
        <v>13</v>
      </c>
      <c r="I237" s="143" t="str">
        <f>"0"</f>
        <v>0</v>
      </c>
      <c r="J237" s="144">
        <v>0</v>
      </c>
      <c r="K237" s="143">
        <f t="shared" si="3"/>
        <v>0</v>
      </c>
    </row>
    <row r="238" spans="1:11" ht="15" thickBot="1" x14ac:dyDescent="0.4">
      <c r="A238" s="158"/>
      <c r="B238" s="155" t="s">
        <v>419</v>
      </c>
      <c r="C238" s="156" t="s">
        <v>789</v>
      </c>
      <c r="D238" s="145" t="s">
        <v>420</v>
      </c>
      <c r="E238" s="145" t="s">
        <v>784</v>
      </c>
      <c r="F238" s="145" t="s">
        <v>534</v>
      </c>
      <c r="G238" s="145">
        <v>2</v>
      </c>
      <c r="H238" s="145" t="str">
        <f>"25"</f>
        <v>25</v>
      </c>
      <c r="I238" s="145" t="str">
        <f>"24"</f>
        <v>24</v>
      </c>
      <c r="J238" s="144">
        <v>0</v>
      </c>
      <c r="K238" s="145">
        <f t="shared" si="3"/>
        <v>0</v>
      </c>
    </row>
    <row r="239" spans="1:11" ht="15" thickBot="1" x14ac:dyDescent="0.4">
      <c r="A239" s="158"/>
      <c r="B239" s="155"/>
      <c r="C239" s="156"/>
      <c r="D239" s="145" t="s">
        <v>331</v>
      </c>
      <c r="E239" s="145" t="s">
        <v>785</v>
      </c>
      <c r="F239" s="145" t="s">
        <v>534</v>
      </c>
      <c r="G239" s="145">
        <v>6</v>
      </c>
      <c r="H239" s="145" t="str">
        <f>"23"</f>
        <v>23</v>
      </c>
      <c r="I239" s="145" t="str">
        <f>"18"</f>
        <v>18</v>
      </c>
      <c r="J239" s="144">
        <v>0</v>
      </c>
      <c r="K239" s="145">
        <f t="shared" si="3"/>
        <v>0</v>
      </c>
    </row>
    <row r="240" spans="1:11" ht="15" thickBot="1" x14ac:dyDescent="0.4">
      <c r="A240" s="158"/>
      <c r="B240" s="155"/>
      <c r="C240" s="156"/>
      <c r="D240" s="145" t="s">
        <v>332</v>
      </c>
      <c r="E240" s="145" t="s">
        <v>786</v>
      </c>
      <c r="F240" s="145" t="s">
        <v>534</v>
      </c>
      <c r="G240" s="145">
        <v>6</v>
      </c>
      <c r="H240" s="145" t="str">
        <f>"17"</f>
        <v>17</v>
      </c>
      <c r="I240" s="145" t="str">
        <f>"12"</f>
        <v>12</v>
      </c>
      <c r="J240" s="144">
        <v>0</v>
      </c>
      <c r="K240" s="145">
        <f t="shared" si="3"/>
        <v>0</v>
      </c>
    </row>
    <row r="241" spans="1:11" ht="15" thickBot="1" x14ac:dyDescent="0.4">
      <c r="A241" s="158"/>
      <c r="B241" s="155"/>
      <c r="C241" s="156"/>
      <c r="D241" s="145" t="s">
        <v>333</v>
      </c>
      <c r="E241" s="145" t="s">
        <v>787</v>
      </c>
      <c r="F241" s="145" t="s">
        <v>534</v>
      </c>
      <c r="G241" s="145">
        <v>6</v>
      </c>
      <c r="H241" s="145" t="str">
        <f>"11"</f>
        <v>11</v>
      </c>
      <c r="I241" s="145" t="str">
        <f>"6"</f>
        <v>6</v>
      </c>
      <c r="J241" s="144">
        <v>0</v>
      </c>
      <c r="K241" s="145">
        <f t="shared" si="3"/>
        <v>0</v>
      </c>
    </row>
    <row r="242" spans="1:11" ht="15" thickBot="1" x14ac:dyDescent="0.4">
      <c r="A242" s="158"/>
      <c r="B242" s="155"/>
      <c r="C242" s="156"/>
      <c r="D242" s="145" t="s">
        <v>334</v>
      </c>
      <c r="E242" s="145" t="s">
        <v>788</v>
      </c>
      <c r="F242" s="145" t="s">
        <v>534</v>
      </c>
      <c r="G242" s="145">
        <v>6</v>
      </c>
      <c r="H242" s="145" t="str">
        <f>"5"</f>
        <v>5</v>
      </c>
      <c r="I242" s="145" t="str">
        <f>"0"</f>
        <v>0</v>
      </c>
      <c r="J242" s="144">
        <v>0</v>
      </c>
      <c r="K242" s="145">
        <f t="shared" si="3"/>
        <v>0</v>
      </c>
    </row>
    <row r="243" spans="1:11" ht="15" thickBot="1" x14ac:dyDescent="0.4">
      <c r="A243" s="158"/>
      <c r="B243" s="155" t="s">
        <v>421</v>
      </c>
      <c r="C243" s="157" t="s">
        <v>807</v>
      </c>
      <c r="D243" s="143" t="s">
        <v>422</v>
      </c>
      <c r="E243" s="143" t="s">
        <v>790</v>
      </c>
      <c r="F243" s="143" t="s">
        <v>534</v>
      </c>
      <c r="G243" s="143">
        <v>2</v>
      </c>
      <c r="H243" s="143" t="str">
        <f>"25"</f>
        <v>25</v>
      </c>
      <c r="I243" s="143" t="str">
        <f>"24"</f>
        <v>24</v>
      </c>
      <c r="J243" s="144">
        <v>0</v>
      </c>
      <c r="K243" s="143">
        <f t="shared" si="3"/>
        <v>0</v>
      </c>
    </row>
    <row r="244" spans="1:11" ht="44" thickBot="1" x14ac:dyDescent="0.4">
      <c r="A244" s="158"/>
      <c r="B244" s="155"/>
      <c r="C244" s="157"/>
      <c r="D244" s="143" t="s">
        <v>336</v>
      </c>
      <c r="E244" s="146" t="s">
        <v>791</v>
      </c>
      <c r="F244" s="143" t="s">
        <v>534</v>
      </c>
      <c r="G244" s="143">
        <v>2</v>
      </c>
      <c r="H244" s="143" t="str">
        <f>"23"</f>
        <v>23</v>
      </c>
      <c r="I244" s="143" t="str">
        <f>"22"</f>
        <v>22</v>
      </c>
      <c r="J244" s="144">
        <v>0</v>
      </c>
      <c r="K244" s="143">
        <f t="shared" si="3"/>
        <v>0</v>
      </c>
    </row>
    <row r="245" spans="1:11" ht="15" thickBot="1" x14ac:dyDescent="0.4">
      <c r="A245" s="158"/>
      <c r="B245" s="155"/>
      <c r="C245" s="157"/>
      <c r="D245" s="143" t="s">
        <v>337</v>
      </c>
      <c r="E245" s="143" t="s">
        <v>792</v>
      </c>
      <c r="F245" s="143" t="s">
        <v>534</v>
      </c>
      <c r="G245" s="143">
        <v>3</v>
      </c>
      <c r="H245" s="143" t="str">
        <f>"21"</f>
        <v>21</v>
      </c>
      <c r="I245" s="143" t="str">
        <f>"19"</f>
        <v>19</v>
      </c>
      <c r="J245" s="144">
        <v>0</v>
      </c>
      <c r="K245" s="143">
        <f t="shared" si="3"/>
        <v>0</v>
      </c>
    </row>
    <row r="246" spans="1:11" ht="102" thickBot="1" x14ac:dyDescent="0.4">
      <c r="A246" s="158"/>
      <c r="B246" s="155"/>
      <c r="C246" s="157"/>
      <c r="D246" s="143" t="s">
        <v>338</v>
      </c>
      <c r="E246" s="146" t="s">
        <v>793</v>
      </c>
      <c r="F246" s="143" t="s">
        <v>534</v>
      </c>
      <c r="G246" s="143">
        <v>2</v>
      </c>
      <c r="H246" s="143" t="str">
        <f>"18"</f>
        <v>18</v>
      </c>
      <c r="I246" s="143" t="str">
        <f>"17"</f>
        <v>17</v>
      </c>
      <c r="J246" s="144">
        <v>0</v>
      </c>
      <c r="K246" s="143">
        <f t="shared" si="3"/>
        <v>0</v>
      </c>
    </row>
    <row r="247" spans="1:11" ht="29.5" thickBot="1" x14ac:dyDescent="0.4">
      <c r="A247" s="158"/>
      <c r="B247" s="155"/>
      <c r="C247" s="157"/>
      <c r="D247" s="143" t="s">
        <v>339</v>
      </c>
      <c r="E247" s="146" t="s">
        <v>794</v>
      </c>
      <c r="F247" s="143" t="s">
        <v>534</v>
      </c>
      <c r="G247" s="143">
        <v>1</v>
      </c>
      <c r="H247" s="143"/>
      <c r="I247" s="143" t="str">
        <f>"16"</f>
        <v>16</v>
      </c>
      <c r="J247" s="144">
        <v>0</v>
      </c>
      <c r="K247" s="143">
        <f t="shared" si="3"/>
        <v>0</v>
      </c>
    </row>
    <row r="248" spans="1:11" ht="44" thickBot="1" x14ac:dyDescent="0.4">
      <c r="A248" s="158"/>
      <c r="B248" s="155"/>
      <c r="C248" s="157"/>
      <c r="D248" s="143" t="s">
        <v>340</v>
      </c>
      <c r="E248" s="146" t="s">
        <v>795</v>
      </c>
      <c r="F248" s="143" t="s">
        <v>534</v>
      </c>
      <c r="G248" s="143">
        <v>1</v>
      </c>
      <c r="H248" s="143"/>
      <c r="I248" s="143" t="str">
        <f>"15"</f>
        <v>15</v>
      </c>
      <c r="J248" s="144">
        <v>0</v>
      </c>
      <c r="K248" s="143">
        <f t="shared" si="3"/>
        <v>0</v>
      </c>
    </row>
    <row r="249" spans="1:11" ht="15" thickBot="1" x14ac:dyDescent="0.4">
      <c r="A249" s="158"/>
      <c r="B249" s="155"/>
      <c r="C249" s="157"/>
      <c r="D249" s="143" t="s">
        <v>341</v>
      </c>
      <c r="E249" s="143" t="s">
        <v>796</v>
      </c>
      <c r="F249" s="143" t="s">
        <v>534</v>
      </c>
      <c r="G249" s="143">
        <v>1</v>
      </c>
      <c r="H249" s="143"/>
      <c r="I249" s="143" t="str">
        <f>"14"</f>
        <v>14</v>
      </c>
      <c r="J249" s="144">
        <v>0</v>
      </c>
      <c r="K249" s="143">
        <f t="shared" si="3"/>
        <v>0</v>
      </c>
    </row>
    <row r="250" spans="1:11" ht="15" thickBot="1" x14ac:dyDescent="0.4">
      <c r="A250" s="158"/>
      <c r="B250" s="155"/>
      <c r="C250" s="157"/>
      <c r="D250" s="143" t="s">
        <v>342</v>
      </c>
      <c r="E250" s="143" t="s">
        <v>797</v>
      </c>
      <c r="F250" s="143" t="s">
        <v>534</v>
      </c>
      <c r="G250" s="143">
        <v>1</v>
      </c>
      <c r="H250" s="143"/>
      <c r="I250" s="143" t="str">
        <f>"13"</f>
        <v>13</v>
      </c>
      <c r="J250" s="144">
        <v>0</v>
      </c>
      <c r="K250" s="143">
        <f t="shared" si="3"/>
        <v>0</v>
      </c>
    </row>
    <row r="251" spans="1:11" ht="15" thickBot="1" x14ac:dyDescent="0.4">
      <c r="A251" s="158"/>
      <c r="B251" s="155"/>
      <c r="C251" s="157"/>
      <c r="D251" s="143" t="s">
        <v>343</v>
      </c>
      <c r="E251" s="143" t="s">
        <v>798</v>
      </c>
      <c r="F251" s="143" t="s">
        <v>534</v>
      </c>
      <c r="G251" s="143">
        <v>1</v>
      </c>
      <c r="H251" s="143"/>
      <c r="I251" s="143" t="str">
        <f>"12"</f>
        <v>12</v>
      </c>
      <c r="J251" s="144">
        <v>0</v>
      </c>
      <c r="K251" s="143">
        <f t="shared" si="3"/>
        <v>0</v>
      </c>
    </row>
    <row r="252" spans="1:11" ht="15" thickBot="1" x14ac:dyDescent="0.4">
      <c r="A252" s="158"/>
      <c r="B252" s="155"/>
      <c r="C252" s="157"/>
      <c r="D252" s="143" t="s">
        <v>344</v>
      </c>
      <c r="E252" s="143" t="s">
        <v>799</v>
      </c>
      <c r="F252" s="143" t="s">
        <v>534</v>
      </c>
      <c r="G252" s="143">
        <v>1</v>
      </c>
      <c r="H252" s="143"/>
      <c r="I252" s="143" t="str">
        <f>"11"</f>
        <v>11</v>
      </c>
      <c r="J252" s="144">
        <v>0</v>
      </c>
      <c r="K252" s="143">
        <f t="shared" si="3"/>
        <v>0</v>
      </c>
    </row>
    <row r="253" spans="1:11" ht="15" thickBot="1" x14ac:dyDescent="0.4">
      <c r="A253" s="158"/>
      <c r="B253" s="155"/>
      <c r="C253" s="157"/>
      <c r="D253" s="143" t="s">
        <v>345</v>
      </c>
      <c r="E253" s="143" t="s">
        <v>800</v>
      </c>
      <c r="F253" s="143" t="s">
        <v>534</v>
      </c>
      <c r="G253" s="143">
        <v>1</v>
      </c>
      <c r="H253" s="143"/>
      <c r="I253" s="143" t="str">
        <f>"10"</f>
        <v>10</v>
      </c>
      <c r="J253" s="144">
        <v>0</v>
      </c>
      <c r="K253" s="143">
        <f t="shared" si="3"/>
        <v>0</v>
      </c>
    </row>
    <row r="254" spans="1:11" ht="15" thickBot="1" x14ac:dyDescent="0.4">
      <c r="A254" s="158"/>
      <c r="B254" s="155"/>
      <c r="C254" s="157"/>
      <c r="D254" s="143" t="s">
        <v>346</v>
      </c>
      <c r="E254" s="143" t="s">
        <v>801</v>
      </c>
      <c r="F254" s="143" t="s">
        <v>534</v>
      </c>
      <c r="G254" s="143">
        <v>2</v>
      </c>
      <c r="H254" s="143" t="str">
        <f>"9"</f>
        <v>9</v>
      </c>
      <c r="I254" s="143" t="str">
        <f>"8"</f>
        <v>8</v>
      </c>
      <c r="J254" s="144">
        <v>0</v>
      </c>
      <c r="K254" s="143">
        <f t="shared" si="3"/>
        <v>0</v>
      </c>
    </row>
    <row r="255" spans="1:11" ht="15" thickBot="1" x14ac:dyDescent="0.4">
      <c r="A255" s="158"/>
      <c r="B255" s="155"/>
      <c r="C255" s="157"/>
      <c r="D255" s="143" t="s">
        <v>347</v>
      </c>
      <c r="E255" s="143" t="s">
        <v>802</v>
      </c>
      <c r="F255" s="143" t="s">
        <v>534</v>
      </c>
      <c r="G255" s="143">
        <v>2</v>
      </c>
      <c r="H255" s="143" t="str">
        <f>"7"</f>
        <v>7</v>
      </c>
      <c r="I255" s="143" t="str">
        <f>"6"</f>
        <v>6</v>
      </c>
      <c r="J255" s="144">
        <v>0</v>
      </c>
      <c r="K255" s="143">
        <f t="shared" si="3"/>
        <v>0</v>
      </c>
    </row>
    <row r="256" spans="1:11" ht="15" thickBot="1" x14ac:dyDescent="0.4">
      <c r="A256" s="158"/>
      <c r="B256" s="155"/>
      <c r="C256" s="157"/>
      <c r="D256" s="143" t="s">
        <v>348</v>
      </c>
      <c r="E256" s="143" t="s">
        <v>803</v>
      </c>
      <c r="F256" s="143" t="s">
        <v>534</v>
      </c>
      <c r="G256" s="143">
        <v>1</v>
      </c>
      <c r="H256" s="143"/>
      <c r="I256" s="143" t="str">
        <f>"5"</f>
        <v>5</v>
      </c>
      <c r="J256" s="144">
        <v>0</v>
      </c>
      <c r="K256" s="143">
        <f t="shared" si="3"/>
        <v>0</v>
      </c>
    </row>
    <row r="257" spans="1:11" ht="15" thickBot="1" x14ac:dyDescent="0.4">
      <c r="A257" s="158"/>
      <c r="B257" s="155"/>
      <c r="C257" s="157"/>
      <c r="D257" s="143" t="s">
        <v>349</v>
      </c>
      <c r="E257" s="143" t="s">
        <v>804</v>
      </c>
      <c r="F257" s="143" t="s">
        <v>534</v>
      </c>
      <c r="G257" s="143">
        <v>1</v>
      </c>
      <c r="H257" s="143"/>
      <c r="I257" s="143" t="str">
        <f>"4"</f>
        <v>4</v>
      </c>
      <c r="J257" s="144">
        <v>0</v>
      </c>
      <c r="K257" s="143">
        <f t="shared" si="3"/>
        <v>0</v>
      </c>
    </row>
    <row r="258" spans="1:11" ht="44" thickBot="1" x14ac:dyDescent="0.4">
      <c r="A258" s="158"/>
      <c r="B258" s="155"/>
      <c r="C258" s="157"/>
      <c r="D258" s="143" t="s">
        <v>350</v>
      </c>
      <c r="E258" s="146" t="s">
        <v>805</v>
      </c>
      <c r="F258" s="143" t="s">
        <v>534</v>
      </c>
      <c r="G258" s="143">
        <v>1</v>
      </c>
      <c r="H258" s="143"/>
      <c r="I258" s="143" t="str">
        <f>"3"</f>
        <v>3</v>
      </c>
      <c r="J258" s="144">
        <v>0</v>
      </c>
      <c r="K258" s="143">
        <f t="shared" si="3"/>
        <v>0</v>
      </c>
    </row>
    <row r="259" spans="1:11" ht="44" thickBot="1" x14ac:dyDescent="0.4">
      <c r="A259" s="158"/>
      <c r="B259" s="155"/>
      <c r="C259" s="157"/>
      <c r="D259" s="143" t="s">
        <v>351</v>
      </c>
      <c r="E259" s="146" t="s">
        <v>806</v>
      </c>
      <c r="F259" s="143" t="s">
        <v>534</v>
      </c>
      <c r="G259" s="143">
        <v>3</v>
      </c>
      <c r="H259" s="143" t="str">
        <f>"2"</f>
        <v>2</v>
      </c>
      <c r="I259" s="143" t="str">
        <f>"0"</f>
        <v>0</v>
      </c>
      <c r="J259" s="144">
        <v>0</v>
      </c>
      <c r="K259" s="143">
        <f t="shared" ref="K259:K322" si="4">J259 * POWER( 2, I259)</f>
        <v>0</v>
      </c>
    </row>
    <row r="260" spans="1:11" ht="44" thickBot="1" x14ac:dyDescent="0.4">
      <c r="A260" s="158"/>
      <c r="B260" s="155" t="s">
        <v>423</v>
      </c>
      <c r="C260" s="156" t="s">
        <v>810</v>
      </c>
      <c r="D260" s="145" t="s">
        <v>353</v>
      </c>
      <c r="E260" s="147" t="s">
        <v>808</v>
      </c>
      <c r="F260" s="145" t="s">
        <v>534</v>
      </c>
      <c r="G260" s="145">
        <v>2</v>
      </c>
      <c r="H260" s="145" t="str">
        <f>"8"</f>
        <v>8</v>
      </c>
      <c r="I260" s="145" t="str">
        <f>"7"</f>
        <v>7</v>
      </c>
      <c r="J260" s="144">
        <v>0</v>
      </c>
      <c r="K260" s="145">
        <f t="shared" si="4"/>
        <v>0</v>
      </c>
    </row>
    <row r="261" spans="1:11" ht="44" thickBot="1" x14ac:dyDescent="0.4">
      <c r="A261" s="158"/>
      <c r="B261" s="155"/>
      <c r="C261" s="156"/>
      <c r="D261" s="145" t="s">
        <v>354</v>
      </c>
      <c r="E261" s="147" t="s">
        <v>809</v>
      </c>
      <c r="F261" s="145" t="s">
        <v>534</v>
      </c>
      <c r="G261" s="145">
        <v>7</v>
      </c>
      <c r="H261" s="145" t="str">
        <f>"6"</f>
        <v>6</v>
      </c>
      <c r="I261" s="145" t="str">
        <f>"0"</f>
        <v>0</v>
      </c>
      <c r="J261" s="144">
        <v>0</v>
      </c>
      <c r="K261" s="145">
        <f t="shared" si="4"/>
        <v>0</v>
      </c>
    </row>
    <row r="262" spans="1:11" ht="58.5" thickBot="1" x14ac:dyDescent="0.4">
      <c r="A262" s="158"/>
      <c r="B262" s="155" t="s">
        <v>424</v>
      </c>
      <c r="C262" s="157" t="s">
        <v>815</v>
      </c>
      <c r="D262" s="143" t="s">
        <v>17</v>
      </c>
      <c r="E262" s="146" t="s">
        <v>811</v>
      </c>
      <c r="F262" s="143" t="s">
        <v>534</v>
      </c>
      <c r="G262" s="143">
        <v>3</v>
      </c>
      <c r="H262" s="143" t="str">
        <f>"8"</f>
        <v>8</v>
      </c>
      <c r="I262" s="143" t="str">
        <f>"6"</f>
        <v>6</v>
      </c>
      <c r="J262" s="144">
        <v>0</v>
      </c>
      <c r="K262" s="143">
        <f t="shared" si="4"/>
        <v>0</v>
      </c>
    </row>
    <row r="263" spans="1:11" ht="15" thickBot="1" x14ac:dyDescent="0.4">
      <c r="A263" s="158"/>
      <c r="B263" s="155"/>
      <c r="C263" s="157"/>
      <c r="D263" s="143" t="s">
        <v>356</v>
      </c>
      <c r="E263" s="143" t="s">
        <v>812</v>
      </c>
      <c r="F263" s="143" t="s">
        <v>534</v>
      </c>
      <c r="G263" s="143">
        <v>1</v>
      </c>
      <c r="H263" s="143"/>
      <c r="I263" s="143" t="str">
        <f>"5"</f>
        <v>5</v>
      </c>
      <c r="J263" s="144">
        <v>0</v>
      </c>
      <c r="K263" s="143">
        <f t="shared" si="4"/>
        <v>0</v>
      </c>
    </row>
    <row r="264" spans="1:11" ht="44" thickBot="1" x14ac:dyDescent="0.4">
      <c r="A264" s="158"/>
      <c r="B264" s="155"/>
      <c r="C264" s="157"/>
      <c r="D264" s="143" t="s">
        <v>425</v>
      </c>
      <c r="E264" s="146" t="s">
        <v>813</v>
      </c>
      <c r="F264" s="143" t="s">
        <v>534</v>
      </c>
      <c r="G264" s="143">
        <v>1</v>
      </c>
      <c r="H264" s="143"/>
      <c r="I264" s="143" t="str">
        <f>"4"</f>
        <v>4</v>
      </c>
      <c r="J264" s="144">
        <v>0</v>
      </c>
      <c r="K264" s="143">
        <f t="shared" si="4"/>
        <v>0</v>
      </c>
    </row>
    <row r="265" spans="1:11" ht="247" thickBot="1" x14ac:dyDescent="0.4">
      <c r="A265" s="158"/>
      <c r="B265" s="155"/>
      <c r="C265" s="157"/>
      <c r="D265" s="143" t="s">
        <v>358</v>
      </c>
      <c r="E265" s="146" t="s">
        <v>814</v>
      </c>
      <c r="F265" s="143" t="s">
        <v>534</v>
      </c>
      <c r="G265" s="143">
        <v>4</v>
      </c>
      <c r="H265" s="143" t="str">
        <f>"3"</f>
        <v>3</v>
      </c>
      <c r="I265" s="143" t="str">
        <f>"0"</f>
        <v>0</v>
      </c>
      <c r="J265" s="144">
        <v>0</v>
      </c>
      <c r="K265" s="143">
        <f t="shared" si="4"/>
        <v>0</v>
      </c>
    </row>
    <row r="266" spans="1:11" ht="15" thickBot="1" x14ac:dyDescent="0.4">
      <c r="A266" s="158"/>
      <c r="B266" s="155" t="s">
        <v>426</v>
      </c>
      <c r="C266" s="156" t="s">
        <v>818</v>
      </c>
      <c r="D266" s="145" t="s">
        <v>360</v>
      </c>
      <c r="E266" s="145" t="s">
        <v>816</v>
      </c>
      <c r="F266" s="145" t="s">
        <v>534</v>
      </c>
      <c r="G266" s="145">
        <v>13</v>
      </c>
      <c r="H266" s="145" t="str">
        <f>"25"</f>
        <v>25</v>
      </c>
      <c r="I266" s="145" t="str">
        <f>"13"</f>
        <v>13</v>
      </c>
      <c r="J266" s="144">
        <v>0</v>
      </c>
      <c r="K266" s="145">
        <f t="shared" si="4"/>
        <v>0</v>
      </c>
    </row>
    <row r="267" spans="1:11" ht="15" thickBot="1" x14ac:dyDescent="0.4">
      <c r="A267" s="158"/>
      <c r="B267" s="155"/>
      <c r="C267" s="156"/>
      <c r="D267" s="145" t="s">
        <v>361</v>
      </c>
      <c r="E267" s="145" t="s">
        <v>817</v>
      </c>
      <c r="F267" s="145" t="s">
        <v>534</v>
      </c>
      <c r="G267" s="145">
        <v>13</v>
      </c>
      <c r="H267" s="145" t="str">
        <f>"12"</f>
        <v>12</v>
      </c>
      <c r="I267" s="145" t="str">
        <f>"0"</f>
        <v>0</v>
      </c>
      <c r="J267" s="144">
        <v>0</v>
      </c>
      <c r="K267" s="145">
        <f t="shared" si="4"/>
        <v>0</v>
      </c>
    </row>
    <row r="268" spans="1:11" ht="15" thickBot="1" x14ac:dyDescent="0.4">
      <c r="A268" s="158"/>
      <c r="B268" s="155" t="s">
        <v>427</v>
      </c>
      <c r="C268" s="157" t="s">
        <v>821</v>
      </c>
      <c r="D268" s="143" t="s">
        <v>363</v>
      </c>
      <c r="E268" s="143" t="s">
        <v>819</v>
      </c>
      <c r="F268" s="143" t="s">
        <v>534</v>
      </c>
      <c r="G268" s="143">
        <v>13</v>
      </c>
      <c r="H268" s="143" t="str">
        <f>"25"</f>
        <v>25</v>
      </c>
      <c r="I268" s="143" t="str">
        <f>"13"</f>
        <v>13</v>
      </c>
      <c r="J268" s="144">
        <v>0</v>
      </c>
      <c r="K268" s="143">
        <f t="shared" si="4"/>
        <v>0</v>
      </c>
    </row>
    <row r="269" spans="1:11" ht="15" thickBot="1" x14ac:dyDescent="0.4">
      <c r="A269" s="158"/>
      <c r="B269" s="155"/>
      <c r="C269" s="157"/>
      <c r="D269" s="143" t="s">
        <v>364</v>
      </c>
      <c r="E269" s="143" t="s">
        <v>820</v>
      </c>
      <c r="F269" s="143" t="s">
        <v>534</v>
      </c>
      <c r="G269" s="143">
        <v>13</v>
      </c>
      <c r="H269" s="143" t="str">
        <f>"12"</f>
        <v>12</v>
      </c>
      <c r="I269" s="143" t="str">
        <f>"0"</f>
        <v>0</v>
      </c>
      <c r="J269" s="144">
        <v>0</v>
      </c>
      <c r="K269" s="143">
        <f t="shared" si="4"/>
        <v>0</v>
      </c>
    </row>
    <row r="270" spans="1:11" ht="15" thickBot="1" x14ac:dyDescent="0.4">
      <c r="A270" s="158"/>
      <c r="B270" s="155" t="s">
        <v>428</v>
      </c>
      <c r="C270" s="156" t="s">
        <v>824</v>
      </c>
      <c r="D270" s="145" t="s">
        <v>366</v>
      </c>
      <c r="E270" s="145" t="s">
        <v>822</v>
      </c>
      <c r="F270" s="145" t="s">
        <v>534</v>
      </c>
      <c r="G270" s="145">
        <v>13</v>
      </c>
      <c r="H270" s="145" t="str">
        <f>"25"</f>
        <v>25</v>
      </c>
      <c r="I270" s="145" t="str">
        <f>"13"</f>
        <v>13</v>
      </c>
      <c r="J270" s="144">
        <v>0</v>
      </c>
      <c r="K270" s="145">
        <f t="shared" si="4"/>
        <v>0</v>
      </c>
    </row>
    <row r="271" spans="1:11" ht="15" thickBot="1" x14ac:dyDescent="0.4">
      <c r="A271" s="158"/>
      <c r="B271" s="155"/>
      <c r="C271" s="156"/>
      <c r="D271" s="145" t="s">
        <v>367</v>
      </c>
      <c r="E271" s="145" t="s">
        <v>823</v>
      </c>
      <c r="F271" s="145" t="s">
        <v>534</v>
      </c>
      <c r="G271" s="145">
        <v>13</v>
      </c>
      <c r="H271" s="145" t="str">
        <f>"12"</f>
        <v>12</v>
      </c>
      <c r="I271" s="145" t="str">
        <f>"0"</f>
        <v>0</v>
      </c>
      <c r="J271" s="144">
        <v>0</v>
      </c>
      <c r="K271" s="145">
        <f t="shared" si="4"/>
        <v>0</v>
      </c>
    </row>
    <row r="272" spans="1:11" ht="15" thickBot="1" x14ac:dyDescent="0.4">
      <c r="A272" s="158"/>
      <c r="B272" s="155" t="s">
        <v>429</v>
      </c>
      <c r="C272" s="157" t="s">
        <v>827</v>
      </c>
      <c r="D272" s="143" t="s">
        <v>369</v>
      </c>
      <c r="E272" s="143" t="s">
        <v>825</v>
      </c>
      <c r="F272" s="143" t="s">
        <v>534</v>
      </c>
      <c r="G272" s="143">
        <v>13</v>
      </c>
      <c r="H272" s="143" t="str">
        <f>"25"</f>
        <v>25</v>
      </c>
      <c r="I272" s="143" t="str">
        <f>"13"</f>
        <v>13</v>
      </c>
      <c r="J272" s="144">
        <v>0</v>
      </c>
      <c r="K272" s="143">
        <f t="shared" si="4"/>
        <v>0</v>
      </c>
    </row>
    <row r="273" spans="1:11" ht="15" thickBot="1" x14ac:dyDescent="0.4">
      <c r="A273" s="158"/>
      <c r="B273" s="155"/>
      <c r="C273" s="157"/>
      <c r="D273" s="143" t="s">
        <v>370</v>
      </c>
      <c r="E273" s="143" t="s">
        <v>826</v>
      </c>
      <c r="F273" s="143" t="s">
        <v>534</v>
      </c>
      <c r="G273" s="143">
        <v>13</v>
      </c>
      <c r="H273" s="143" t="str">
        <f>"12"</f>
        <v>12</v>
      </c>
      <c r="I273" s="143" t="str">
        <f>"0"</f>
        <v>0</v>
      </c>
      <c r="J273" s="144">
        <v>0</v>
      </c>
      <c r="K273" s="143">
        <f t="shared" si="4"/>
        <v>0</v>
      </c>
    </row>
    <row r="274" spans="1:11" ht="15" thickBot="1" x14ac:dyDescent="0.4">
      <c r="A274" s="158"/>
      <c r="B274" s="155" t="s">
        <v>430</v>
      </c>
      <c r="C274" s="156" t="s">
        <v>830</v>
      </c>
      <c r="D274" s="145" t="s">
        <v>372</v>
      </c>
      <c r="E274" s="145" t="s">
        <v>828</v>
      </c>
      <c r="F274" s="145" t="s">
        <v>534</v>
      </c>
      <c r="G274" s="145">
        <v>13</v>
      </c>
      <c r="H274" s="145" t="str">
        <f>"25"</f>
        <v>25</v>
      </c>
      <c r="I274" s="145" t="str">
        <f>"13"</f>
        <v>13</v>
      </c>
      <c r="J274" s="144">
        <v>0</v>
      </c>
      <c r="K274" s="145">
        <f t="shared" si="4"/>
        <v>0</v>
      </c>
    </row>
    <row r="275" spans="1:11" ht="15" thickBot="1" x14ac:dyDescent="0.4">
      <c r="A275" s="158"/>
      <c r="B275" s="155"/>
      <c r="C275" s="156"/>
      <c r="D275" s="145" t="s">
        <v>373</v>
      </c>
      <c r="E275" s="145" t="s">
        <v>829</v>
      </c>
      <c r="F275" s="145" t="s">
        <v>534</v>
      </c>
      <c r="G275" s="145">
        <v>13</v>
      </c>
      <c r="H275" s="145" t="str">
        <f>"12"</f>
        <v>12</v>
      </c>
      <c r="I275" s="145" t="str">
        <f>"0"</f>
        <v>0</v>
      </c>
      <c r="J275" s="144">
        <v>0</v>
      </c>
      <c r="K275" s="145">
        <f t="shared" si="4"/>
        <v>0</v>
      </c>
    </row>
    <row r="276" spans="1:11" ht="15" thickBot="1" x14ac:dyDescent="0.4">
      <c r="A276" s="158"/>
      <c r="B276" s="155" t="s">
        <v>431</v>
      </c>
      <c r="C276" s="157" t="s">
        <v>833</v>
      </c>
      <c r="D276" s="143" t="s">
        <v>375</v>
      </c>
      <c r="E276" s="143" t="s">
        <v>831</v>
      </c>
      <c r="F276" s="143" t="s">
        <v>534</v>
      </c>
      <c r="G276" s="143">
        <v>13</v>
      </c>
      <c r="H276" s="143" t="str">
        <f>"25"</f>
        <v>25</v>
      </c>
      <c r="I276" s="143" t="str">
        <f>"13"</f>
        <v>13</v>
      </c>
      <c r="J276" s="144">
        <v>0</v>
      </c>
      <c r="K276" s="143">
        <f t="shared" si="4"/>
        <v>0</v>
      </c>
    </row>
    <row r="277" spans="1:11" ht="15" thickBot="1" x14ac:dyDescent="0.4">
      <c r="A277" s="158"/>
      <c r="B277" s="155"/>
      <c r="C277" s="157"/>
      <c r="D277" s="143" t="s">
        <v>376</v>
      </c>
      <c r="E277" s="143" t="s">
        <v>832</v>
      </c>
      <c r="F277" s="143" t="s">
        <v>534</v>
      </c>
      <c r="G277" s="143">
        <v>13</v>
      </c>
      <c r="H277" s="143" t="str">
        <f>"12"</f>
        <v>12</v>
      </c>
      <c r="I277" s="143" t="str">
        <f>"0"</f>
        <v>0</v>
      </c>
      <c r="J277" s="144">
        <v>0</v>
      </c>
      <c r="K277" s="143">
        <f t="shared" si="4"/>
        <v>0</v>
      </c>
    </row>
    <row r="278" spans="1:11" ht="15" thickBot="1" x14ac:dyDescent="0.4">
      <c r="A278" s="158"/>
      <c r="B278" s="155" t="s">
        <v>432</v>
      </c>
      <c r="C278" s="156" t="s">
        <v>836</v>
      </c>
      <c r="D278" s="145" t="s">
        <v>378</v>
      </c>
      <c r="E278" s="145" t="s">
        <v>834</v>
      </c>
      <c r="F278" s="145" t="s">
        <v>534</v>
      </c>
      <c r="G278" s="145">
        <v>13</v>
      </c>
      <c r="H278" s="145" t="str">
        <f>"25"</f>
        <v>25</v>
      </c>
      <c r="I278" s="145" t="str">
        <f>"13"</f>
        <v>13</v>
      </c>
      <c r="J278" s="144">
        <v>0</v>
      </c>
      <c r="K278" s="145">
        <f t="shared" si="4"/>
        <v>0</v>
      </c>
    </row>
    <row r="279" spans="1:11" ht="15" thickBot="1" x14ac:dyDescent="0.4">
      <c r="A279" s="158"/>
      <c r="B279" s="155"/>
      <c r="C279" s="156"/>
      <c r="D279" s="145" t="s">
        <v>379</v>
      </c>
      <c r="E279" s="145" t="s">
        <v>835</v>
      </c>
      <c r="F279" s="145" t="s">
        <v>534</v>
      </c>
      <c r="G279" s="145">
        <v>13</v>
      </c>
      <c r="H279" s="145" t="str">
        <f>"12"</f>
        <v>12</v>
      </c>
      <c r="I279" s="145" t="str">
        <f>"0"</f>
        <v>0</v>
      </c>
      <c r="J279" s="144">
        <v>0</v>
      </c>
      <c r="K279" s="145">
        <f t="shared" si="4"/>
        <v>0</v>
      </c>
    </row>
    <row r="280" spans="1:11" ht="15" thickBot="1" x14ac:dyDescent="0.4">
      <c r="A280" s="158"/>
      <c r="B280" s="155" t="s">
        <v>433</v>
      </c>
      <c r="C280" s="157" t="s">
        <v>839</v>
      </c>
      <c r="D280" s="143" t="s">
        <v>381</v>
      </c>
      <c r="E280" s="143" t="s">
        <v>837</v>
      </c>
      <c r="F280" s="143" t="s">
        <v>534</v>
      </c>
      <c r="G280" s="143">
        <v>13</v>
      </c>
      <c r="H280" s="143" t="str">
        <f>"25"</f>
        <v>25</v>
      </c>
      <c r="I280" s="143" t="str">
        <f>"13"</f>
        <v>13</v>
      </c>
      <c r="J280" s="144">
        <v>0</v>
      </c>
      <c r="K280" s="143">
        <f t="shared" si="4"/>
        <v>0</v>
      </c>
    </row>
    <row r="281" spans="1:11" ht="15" thickBot="1" x14ac:dyDescent="0.4">
      <c r="A281" s="158"/>
      <c r="B281" s="155"/>
      <c r="C281" s="157"/>
      <c r="D281" s="143" t="s">
        <v>382</v>
      </c>
      <c r="E281" s="143" t="s">
        <v>838</v>
      </c>
      <c r="F281" s="143" t="s">
        <v>534</v>
      </c>
      <c r="G281" s="143">
        <v>13</v>
      </c>
      <c r="H281" s="143" t="str">
        <f>"12"</f>
        <v>12</v>
      </c>
      <c r="I281" s="143" t="str">
        <f>"0"</f>
        <v>0</v>
      </c>
      <c r="J281" s="144">
        <v>0</v>
      </c>
      <c r="K281" s="143">
        <f t="shared" si="4"/>
        <v>0</v>
      </c>
    </row>
    <row r="282" spans="1:11" ht="15" thickBot="1" x14ac:dyDescent="0.4">
      <c r="A282" s="158"/>
      <c r="B282" s="155" t="s">
        <v>434</v>
      </c>
      <c r="C282" s="156" t="s">
        <v>848</v>
      </c>
      <c r="D282" s="145" t="s">
        <v>435</v>
      </c>
      <c r="E282" s="145" t="s">
        <v>840</v>
      </c>
      <c r="F282" s="145" t="s">
        <v>534</v>
      </c>
      <c r="G282" s="145">
        <v>3</v>
      </c>
      <c r="H282" s="145" t="str">
        <f>"25"</f>
        <v>25</v>
      </c>
      <c r="I282" s="145" t="str">
        <f>"23"</f>
        <v>23</v>
      </c>
      <c r="J282" s="144">
        <v>0</v>
      </c>
      <c r="K282" s="145">
        <f t="shared" si="4"/>
        <v>0</v>
      </c>
    </row>
    <row r="283" spans="1:11" ht="15" thickBot="1" x14ac:dyDescent="0.4">
      <c r="A283" s="158"/>
      <c r="B283" s="155"/>
      <c r="C283" s="156"/>
      <c r="D283" s="145" t="s">
        <v>384</v>
      </c>
      <c r="E283" s="145" t="s">
        <v>841</v>
      </c>
      <c r="F283" s="145" t="s">
        <v>534</v>
      </c>
      <c r="G283" s="145">
        <v>1</v>
      </c>
      <c r="H283" s="145"/>
      <c r="I283" s="145" t="str">
        <f>"22"</f>
        <v>22</v>
      </c>
      <c r="J283" s="144">
        <v>0</v>
      </c>
      <c r="K283" s="145">
        <f t="shared" si="4"/>
        <v>0</v>
      </c>
    </row>
    <row r="284" spans="1:11" ht="58.5" thickBot="1" x14ac:dyDescent="0.4">
      <c r="A284" s="158"/>
      <c r="B284" s="155"/>
      <c r="C284" s="156"/>
      <c r="D284" s="145" t="s">
        <v>385</v>
      </c>
      <c r="E284" s="147" t="s">
        <v>842</v>
      </c>
      <c r="F284" s="145" t="s">
        <v>534</v>
      </c>
      <c r="G284" s="145">
        <v>3</v>
      </c>
      <c r="H284" s="145" t="str">
        <f>"21"</f>
        <v>21</v>
      </c>
      <c r="I284" s="145" t="str">
        <f>"19"</f>
        <v>19</v>
      </c>
      <c r="J284" s="144">
        <v>0</v>
      </c>
      <c r="K284" s="145">
        <f t="shared" si="4"/>
        <v>0</v>
      </c>
    </row>
    <row r="285" spans="1:11" ht="15" thickBot="1" x14ac:dyDescent="0.4">
      <c r="A285" s="158"/>
      <c r="B285" s="155"/>
      <c r="C285" s="156"/>
      <c r="D285" s="145" t="s">
        <v>386</v>
      </c>
      <c r="E285" s="145" t="s">
        <v>843</v>
      </c>
      <c r="F285" s="145" t="s">
        <v>534</v>
      </c>
      <c r="G285" s="145">
        <v>1</v>
      </c>
      <c r="H285" s="145"/>
      <c r="I285" s="145" t="str">
        <f>"18"</f>
        <v>18</v>
      </c>
      <c r="J285" s="144">
        <v>0</v>
      </c>
      <c r="K285" s="145">
        <f t="shared" si="4"/>
        <v>0</v>
      </c>
    </row>
    <row r="286" spans="1:11" ht="29.5" thickBot="1" x14ac:dyDescent="0.4">
      <c r="A286" s="158"/>
      <c r="B286" s="155"/>
      <c r="C286" s="156"/>
      <c r="D286" s="145" t="s">
        <v>32</v>
      </c>
      <c r="E286" s="147" t="s">
        <v>844</v>
      </c>
      <c r="F286" s="145" t="s">
        <v>534</v>
      </c>
      <c r="G286" s="145">
        <v>3</v>
      </c>
      <c r="H286" s="145" t="str">
        <f>"17"</f>
        <v>17</v>
      </c>
      <c r="I286" s="145" t="str">
        <f>"15"</f>
        <v>15</v>
      </c>
      <c r="J286" s="144">
        <v>0</v>
      </c>
      <c r="K286" s="145">
        <f t="shared" si="4"/>
        <v>0</v>
      </c>
    </row>
    <row r="287" spans="1:11" ht="15" thickBot="1" x14ac:dyDescent="0.4">
      <c r="A287" s="158"/>
      <c r="B287" s="155"/>
      <c r="C287" s="156"/>
      <c r="D287" s="145" t="s">
        <v>387</v>
      </c>
      <c r="E287" s="145" t="s">
        <v>845</v>
      </c>
      <c r="F287" s="145" t="s">
        <v>534</v>
      </c>
      <c r="G287" s="145">
        <v>1</v>
      </c>
      <c r="H287" s="145"/>
      <c r="I287" s="145" t="str">
        <f>"14"</f>
        <v>14</v>
      </c>
      <c r="J287" s="144">
        <v>0</v>
      </c>
      <c r="K287" s="145">
        <f t="shared" si="4"/>
        <v>0</v>
      </c>
    </row>
    <row r="288" spans="1:11" ht="15" thickBot="1" x14ac:dyDescent="0.4">
      <c r="A288" s="158"/>
      <c r="B288" s="155"/>
      <c r="C288" s="156"/>
      <c r="D288" s="145" t="s">
        <v>388</v>
      </c>
      <c r="E288" s="145" t="s">
        <v>846</v>
      </c>
      <c r="F288" s="145" t="s">
        <v>534</v>
      </c>
      <c r="G288" s="145">
        <v>1</v>
      </c>
      <c r="H288" s="145"/>
      <c r="I288" s="145" t="str">
        <f>"13"</f>
        <v>13</v>
      </c>
      <c r="J288" s="144">
        <v>0</v>
      </c>
      <c r="K288" s="145">
        <f t="shared" si="4"/>
        <v>0</v>
      </c>
    </row>
    <row r="289" spans="1:11" ht="15" thickBot="1" x14ac:dyDescent="0.4">
      <c r="A289" s="158"/>
      <c r="B289" s="155"/>
      <c r="C289" s="156"/>
      <c r="D289" s="145" t="s">
        <v>389</v>
      </c>
      <c r="E289" s="145" t="s">
        <v>847</v>
      </c>
      <c r="F289" s="145" t="s">
        <v>534</v>
      </c>
      <c r="G289" s="145">
        <v>13</v>
      </c>
      <c r="H289" s="145" t="str">
        <f>"12"</f>
        <v>12</v>
      </c>
      <c r="I289" s="145" t="str">
        <f>"0"</f>
        <v>0</v>
      </c>
      <c r="J289" s="144">
        <v>0</v>
      </c>
      <c r="K289" s="145">
        <f t="shared" si="4"/>
        <v>0</v>
      </c>
    </row>
    <row r="290" spans="1:11" ht="15" thickBot="1" x14ac:dyDescent="0.4">
      <c r="A290" s="158"/>
      <c r="B290" s="155" t="s">
        <v>436</v>
      </c>
      <c r="C290" s="157" t="s">
        <v>852</v>
      </c>
      <c r="D290" s="143" t="s">
        <v>391</v>
      </c>
      <c r="E290" s="143" t="s">
        <v>849</v>
      </c>
      <c r="F290" s="143" t="s">
        <v>534</v>
      </c>
      <c r="G290" s="143">
        <v>14</v>
      </c>
      <c r="H290" s="143" t="str">
        <f>"25"</f>
        <v>25</v>
      </c>
      <c r="I290" s="143" t="str">
        <f>"12"</f>
        <v>12</v>
      </c>
      <c r="J290" s="144">
        <v>0</v>
      </c>
      <c r="K290" s="143">
        <f t="shared" si="4"/>
        <v>0</v>
      </c>
    </row>
    <row r="291" spans="1:11" ht="29.5" thickBot="1" x14ac:dyDescent="0.4">
      <c r="A291" s="158"/>
      <c r="B291" s="155"/>
      <c r="C291" s="157"/>
      <c r="D291" s="143" t="s">
        <v>392</v>
      </c>
      <c r="E291" s="146" t="s">
        <v>850</v>
      </c>
      <c r="F291" s="143" t="s">
        <v>534</v>
      </c>
      <c r="G291" s="143">
        <v>3</v>
      </c>
      <c r="H291" s="143" t="str">
        <f>"11"</f>
        <v>11</v>
      </c>
      <c r="I291" s="143" t="str">
        <f>"9"</f>
        <v>9</v>
      </c>
      <c r="J291" s="144">
        <v>0</v>
      </c>
      <c r="K291" s="143">
        <f t="shared" si="4"/>
        <v>0</v>
      </c>
    </row>
    <row r="292" spans="1:11" ht="15" thickBot="1" x14ac:dyDescent="0.4">
      <c r="A292" s="158"/>
      <c r="B292" s="155"/>
      <c r="C292" s="157"/>
      <c r="D292" s="143" t="s">
        <v>393</v>
      </c>
      <c r="E292" s="143" t="s">
        <v>851</v>
      </c>
      <c r="F292" s="143" t="s">
        <v>534</v>
      </c>
      <c r="G292" s="143">
        <v>9</v>
      </c>
      <c r="H292" s="143" t="str">
        <f>"8"</f>
        <v>8</v>
      </c>
      <c r="I292" s="143" t="str">
        <f>"0"</f>
        <v>0</v>
      </c>
      <c r="J292" s="144">
        <v>0</v>
      </c>
      <c r="K292" s="143">
        <f t="shared" si="4"/>
        <v>0</v>
      </c>
    </row>
    <row r="293" spans="1:11" ht="15" thickBot="1" x14ac:dyDescent="0.4">
      <c r="A293" s="158"/>
      <c r="B293" s="155" t="s">
        <v>437</v>
      </c>
      <c r="C293" s="156" t="s">
        <v>856</v>
      </c>
      <c r="D293" s="145" t="s">
        <v>395</v>
      </c>
      <c r="E293" s="145" t="s">
        <v>853</v>
      </c>
      <c r="F293" s="145" t="s">
        <v>534</v>
      </c>
      <c r="G293" s="145">
        <v>1</v>
      </c>
      <c r="H293" s="145"/>
      <c r="I293" s="145" t="str">
        <f>"24"</f>
        <v>24</v>
      </c>
      <c r="J293" s="144">
        <v>0</v>
      </c>
      <c r="K293" s="145">
        <f t="shared" si="4"/>
        <v>0</v>
      </c>
    </row>
    <row r="294" spans="1:11" ht="15" thickBot="1" x14ac:dyDescent="0.4">
      <c r="A294" s="158"/>
      <c r="B294" s="155"/>
      <c r="C294" s="156"/>
      <c r="D294" s="145" t="s">
        <v>13</v>
      </c>
      <c r="E294" s="145" t="s">
        <v>854</v>
      </c>
      <c r="F294" s="145" t="s">
        <v>534</v>
      </c>
      <c r="G294" s="145">
        <v>12</v>
      </c>
      <c r="H294" s="145" t="str">
        <f>"23"</f>
        <v>23</v>
      </c>
      <c r="I294" s="145" t="str">
        <f>"12"</f>
        <v>12</v>
      </c>
      <c r="J294" s="144">
        <v>0</v>
      </c>
      <c r="K294" s="145">
        <f t="shared" si="4"/>
        <v>0</v>
      </c>
    </row>
    <row r="295" spans="1:11" ht="15" thickBot="1" x14ac:dyDescent="0.4">
      <c r="A295" s="158"/>
      <c r="B295" s="155"/>
      <c r="C295" s="156"/>
      <c r="D295" s="145" t="s">
        <v>14</v>
      </c>
      <c r="E295" s="145" t="s">
        <v>855</v>
      </c>
      <c r="F295" s="145" t="s">
        <v>534</v>
      </c>
      <c r="G295" s="145">
        <v>12</v>
      </c>
      <c r="H295" s="145" t="str">
        <f>"11"</f>
        <v>11</v>
      </c>
      <c r="I295" s="145" t="str">
        <f>"0"</f>
        <v>0</v>
      </c>
      <c r="J295" s="144">
        <v>0</v>
      </c>
      <c r="K295" s="145">
        <f t="shared" si="4"/>
        <v>0</v>
      </c>
    </row>
    <row r="296" spans="1:11" ht="15" thickBot="1" x14ac:dyDescent="0.4">
      <c r="A296" s="158"/>
      <c r="B296" s="155" t="s">
        <v>438</v>
      </c>
      <c r="C296" s="157" t="s">
        <v>866</v>
      </c>
      <c r="D296" s="143" t="s">
        <v>439</v>
      </c>
      <c r="E296" s="143" t="s">
        <v>857</v>
      </c>
      <c r="F296" s="143" t="s">
        <v>534</v>
      </c>
      <c r="G296" s="143">
        <v>6</v>
      </c>
      <c r="H296" s="143" t="str">
        <f>"25"</f>
        <v>25</v>
      </c>
      <c r="I296" s="143" t="str">
        <f>"20"</f>
        <v>20</v>
      </c>
      <c r="J296" s="144">
        <v>0</v>
      </c>
      <c r="K296" s="143">
        <f t="shared" si="4"/>
        <v>0</v>
      </c>
    </row>
    <row r="297" spans="1:11" ht="15" thickBot="1" x14ac:dyDescent="0.4">
      <c r="A297" s="158"/>
      <c r="B297" s="155"/>
      <c r="C297" s="157"/>
      <c r="D297" s="143" t="s">
        <v>397</v>
      </c>
      <c r="E297" s="143" t="s">
        <v>858</v>
      </c>
      <c r="F297" s="143" t="s">
        <v>534</v>
      </c>
      <c r="G297" s="143">
        <v>1</v>
      </c>
      <c r="H297" s="143"/>
      <c r="I297" s="143" t="str">
        <f>"19"</f>
        <v>19</v>
      </c>
      <c r="J297" s="144">
        <v>0</v>
      </c>
      <c r="K297" s="143">
        <f t="shared" si="4"/>
        <v>0</v>
      </c>
    </row>
    <row r="298" spans="1:11" ht="87.5" thickBot="1" x14ac:dyDescent="0.4">
      <c r="A298" s="158"/>
      <c r="B298" s="155"/>
      <c r="C298" s="157"/>
      <c r="D298" s="143" t="s">
        <v>398</v>
      </c>
      <c r="E298" s="146" t="s">
        <v>859</v>
      </c>
      <c r="F298" s="143" t="s">
        <v>534</v>
      </c>
      <c r="G298" s="143">
        <v>8</v>
      </c>
      <c r="H298" s="143" t="str">
        <f>"18"</f>
        <v>18</v>
      </c>
      <c r="I298" s="143" t="str">
        <f>"11"</f>
        <v>11</v>
      </c>
      <c r="J298" s="144">
        <v>0</v>
      </c>
      <c r="K298" s="143">
        <f t="shared" si="4"/>
        <v>0</v>
      </c>
    </row>
    <row r="299" spans="1:11" ht="29.5" thickBot="1" x14ac:dyDescent="0.4">
      <c r="A299" s="158"/>
      <c r="B299" s="155"/>
      <c r="C299" s="157"/>
      <c r="D299" s="143" t="s">
        <v>18</v>
      </c>
      <c r="E299" s="146" t="s">
        <v>860</v>
      </c>
      <c r="F299" s="143" t="s">
        <v>534</v>
      </c>
      <c r="G299" s="143">
        <v>1</v>
      </c>
      <c r="H299" s="143"/>
      <c r="I299" s="143" t="str">
        <f>"10"</f>
        <v>10</v>
      </c>
      <c r="J299" s="144">
        <v>0</v>
      </c>
      <c r="K299" s="143">
        <f t="shared" si="4"/>
        <v>0</v>
      </c>
    </row>
    <row r="300" spans="1:11" ht="15" thickBot="1" x14ac:dyDescent="0.4">
      <c r="A300" s="158"/>
      <c r="B300" s="155"/>
      <c r="C300" s="157"/>
      <c r="D300" s="143" t="s">
        <v>399</v>
      </c>
      <c r="E300" s="143" t="s">
        <v>861</v>
      </c>
      <c r="F300" s="143" t="s">
        <v>534</v>
      </c>
      <c r="G300" s="143">
        <v>1</v>
      </c>
      <c r="H300" s="143"/>
      <c r="I300" s="143" t="str">
        <f>"9"</f>
        <v>9</v>
      </c>
      <c r="J300" s="144">
        <v>0</v>
      </c>
      <c r="K300" s="143">
        <f t="shared" si="4"/>
        <v>0</v>
      </c>
    </row>
    <row r="301" spans="1:11" ht="15" thickBot="1" x14ac:dyDescent="0.4">
      <c r="A301" s="158"/>
      <c r="B301" s="155"/>
      <c r="C301" s="157"/>
      <c r="D301" s="143" t="s">
        <v>400</v>
      </c>
      <c r="E301" s="143" t="s">
        <v>862</v>
      </c>
      <c r="F301" s="143" t="s">
        <v>534</v>
      </c>
      <c r="G301" s="143">
        <v>1</v>
      </c>
      <c r="H301" s="143"/>
      <c r="I301" s="143" t="str">
        <f>"8"</f>
        <v>8</v>
      </c>
      <c r="J301" s="144">
        <v>0</v>
      </c>
      <c r="K301" s="143">
        <f t="shared" si="4"/>
        <v>0</v>
      </c>
    </row>
    <row r="302" spans="1:11" ht="58.5" thickBot="1" x14ac:dyDescent="0.4">
      <c r="A302" s="158"/>
      <c r="B302" s="155"/>
      <c r="C302" s="157"/>
      <c r="D302" s="143" t="s">
        <v>401</v>
      </c>
      <c r="E302" s="146" t="s">
        <v>863</v>
      </c>
      <c r="F302" s="143" t="s">
        <v>534</v>
      </c>
      <c r="G302" s="143">
        <v>2</v>
      </c>
      <c r="H302" s="143" t="str">
        <f>"7"</f>
        <v>7</v>
      </c>
      <c r="I302" s="143" t="str">
        <f>"6"</f>
        <v>6</v>
      </c>
      <c r="J302" s="144">
        <v>0</v>
      </c>
      <c r="K302" s="143">
        <f t="shared" si="4"/>
        <v>0</v>
      </c>
    </row>
    <row r="303" spans="1:11" ht="58.5" thickBot="1" x14ac:dyDescent="0.4">
      <c r="A303" s="158"/>
      <c r="B303" s="155"/>
      <c r="C303" s="157"/>
      <c r="D303" s="143" t="s">
        <v>402</v>
      </c>
      <c r="E303" s="146" t="s">
        <v>864</v>
      </c>
      <c r="F303" s="143" t="s">
        <v>534</v>
      </c>
      <c r="G303" s="143">
        <v>2</v>
      </c>
      <c r="H303" s="143" t="str">
        <f>"5"</f>
        <v>5</v>
      </c>
      <c r="I303" s="143" t="str">
        <f>"4"</f>
        <v>4</v>
      </c>
      <c r="J303" s="144">
        <v>0</v>
      </c>
      <c r="K303" s="143">
        <f t="shared" si="4"/>
        <v>0</v>
      </c>
    </row>
    <row r="304" spans="1:11" ht="73" thickBot="1" x14ac:dyDescent="0.4">
      <c r="A304" s="158"/>
      <c r="B304" s="155"/>
      <c r="C304" s="157"/>
      <c r="D304" s="143" t="s">
        <v>16</v>
      </c>
      <c r="E304" s="146" t="s">
        <v>865</v>
      </c>
      <c r="F304" s="143" t="s">
        <v>534</v>
      </c>
      <c r="G304" s="143">
        <v>4</v>
      </c>
      <c r="H304" s="143" t="str">
        <f>"3"</f>
        <v>3</v>
      </c>
      <c r="I304" s="143" t="str">
        <f>"0"</f>
        <v>0</v>
      </c>
      <c r="J304" s="144">
        <v>0</v>
      </c>
      <c r="K304" s="143">
        <f t="shared" si="4"/>
        <v>0</v>
      </c>
    </row>
    <row r="305" spans="1:11" ht="15" thickBot="1" x14ac:dyDescent="0.4">
      <c r="A305" s="158"/>
      <c r="B305" s="151" t="s">
        <v>440</v>
      </c>
      <c r="C305" s="152" t="s">
        <v>868</v>
      </c>
      <c r="D305" s="145" t="s">
        <v>404</v>
      </c>
      <c r="E305" s="145" t="s">
        <v>867</v>
      </c>
      <c r="F305" s="145" t="s">
        <v>534</v>
      </c>
      <c r="G305" s="145">
        <v>24</v>
      </c>
      <c r="H305" s="145" t="str">
        <f>"23"</f>
        <v>23</v>
      </c>
      <c r="I305" s="145" t="str">
        <f>"0"</f>
        <v>0</v>
      </c>
      <c r="J305" s="144">
        <v>0</v>
      </c>
      <c r="K305" s="145">
        <f t="shared" si="4"/>
        <v>0</v>
      </c>
    </row>
    <row r="306" spans="1:11" ht="15" thickBot="1" x14ac:dyDescent="0.4">
      <c r="A306" s="158" t="s">
        <v>1032</v>
      </c>
      <c r="B306" s="155" t="s">
        <v>80</v>
      </c>
      <c r="C306" s="157" t="s">
        <v>890</v>
      </c>
      <c r="D306" s="143" t="s">
        <v>81</v>
      </c>
      <c r="E306" s="143" t="s">
        <v>870</v>
      </c>
      <c r="F306" s="143" t="s">
        <v>534</v>
      </c>
      <c r="G306" s="143">
        <v>2</v>
      </c>
      <c r="H306" s="143" t="str">
        <f>"31"</f>
        <v>31</v>
      </c>
      <c r="I306" s="143" t="str">
        <f>"30"</f>
        <v>30</v>
      </c>
      <c r="J306" s="144">
        <v>0</v>
      </c>
      <c r="K306" s="143">
        <f t="shared" si="4"/>
        <v>0</v>
      </c>
    </row>
    <row r="307" spans="1:11" ht="15" thickBot="1" x14ac:dyDescent="0.4">
      <c r="A307" s="158"/>
      <c r="B307" s="155"/>
      <c r="C307" s="157"/>
      <c r="D307" s="143" t="s">
        <v>82</v>
      </c>
      <c r="E307" s="143" t="s">
        <v>871</v>
      </c>
      <c r="F307" s="143" t="s">
        <v>534</v>
      </c>
      <c r="G307" s="143">
        <v>2</v>
      </c>
      <c r="H307" s="143" t="str">
        <f>"29"</f>
        <v>29</v>
      </c>
      <c r="I307" s="143" t="str">
        <f>"28"</f>
        <v>28</v>
      </c>
      <c r="J307" s="144">
        <v>0</v>
      </c>
      <c r="K307" s="143">
        <f t="shared" si="4"/>
        <v>0</v>
      </c>
    </row>
    <row r="308" spans="1:11" ht="15" thickBot="1" x14ac:dyDescent="0.4">
      <c r="A308" s="158"/>
      <c r="B308" s="155"/>
      <c r="C308" s="157"/>
      <c r="D308" s="143" t="s">
        <v>83</v>
      </c>
      <c r="E308" s="143" t="s">
        <v>872</v>
      </c>
      <c r="F308" s="143" t="s">
        <v>534</v>
      </c>
      <c r="G308" s="143">
        <v>2</v>
      </c>
      <c r="H308" s="143" t="str">
        <f>"27"</f>
        <v>27</v>
      </c>
      <c r="I308" s="143" t="str">
        <f>"26"</f>
        <v>26</v>
      </c>
      <c r="J308" s="144">
        <v>0</v>
      </c>
      <c r="K308" s="143">
        <f t="shared" si="4"/>
        <v>0</v>
      </c>
    </row>
    <row r="309" spans="1:11" ht="15" thickBot="1" x14ac:dyDescent="0.4">
      <c r="A309" s="158"/>
      <c r="B309" s="155"/>
      <c r="C309" s="157"/>
      <c r="D309" s="143" t="s">
        <v>84</v>
      </c>
      <c r="E309" s="143" t="s">
        <v>873</v>
      </c>
      <c r="F309" s="143" t="s">
        <v>534</v>
      </c>
      <c r="G309" s="143">
        <v>6</v>
      </c>
      <c r="H309" s="143" t="str">
        <f>"25"</f>
        <v>25</v>
      </c>
      <c r="I309" s="143" t="str">
        <f>"20"</f>
        <v>20</v>
      </c>
      <c r="J309" s="144">
        <v>0</v>
      </c>
      <c r="K309" s="143">
        <f t="shared" si="4"/>
        <v>0</v>
      </c>
    </row>
    <row r="310" spans="1:11" ht="15" thickBot="1" x14ac:dyDescent="0.4">
      <c r="A310" s="158"/>
      <c r="B310" s="155"/>
      <c r="C310" s="157"/>
      <c r="D310" s="143" t="s">
        <v>85</v>
      </c>
      <c r="E310" s="143" t="s">
        <v>874</v>
      </c>
      <c r="F310" s="143" t="s">
        <v>534</v>
      </c>
      <c r="G310" s="143">
        <v>1</v>
      </c>
      <c r="H310" s="143"/>
      <c r="I310" s="143" t="str">
        <f>"19"</f>
        <v>19</v>
      </c>
      <c r="J310" s="144">
        <v>0</v>
      </c>
      <c r="K310" s="143">
        <f t="shared" si="4"/>
        <v>0</v>
      </c>
    </row>
    <row r="311" spans="1:11" ht="15" thickBot="1" x14ac:dyDescent="0.4">
      <c r="A311" s="158"/>
      <c r="B311" s="155"/>
      <c r="C311" s="157"/>
      <c r="D311" s="143" t="s">
        <v>86</v>
      </c>
      <c r="E311" s="143" t="s">
        <v>875</v>
      </c>
      <c r="F311" s="143" t="s">
        <v>534</v>
      </c>
      <c r="G311" s="143">
        <v>1</v>
      </c>
      <c r="H311" s="143"/>
      <c r="I311" s="143" t="str">
        <f>"18"</f>
        <v>18</v>
      </c>
      <c r="J311" s="144">
        <v>0</v>
      </c>
      <c r="K311" s="143">
        <f t="shared" si="4"/>
        <v>0</v>
      </c>
    </row>
    <row r="312" spans="1:11" ht="44" thickBot="1" x14ac:dyDescent="0.4">
      <c r="A312" s="158"/>
      <c r="B312" s="155"/>
      <c r="C312" s="157"/>
      <c r="D312" s="143" t="s">
        <v>87</v>
      </c>
      <c r="E312" s="146" t="s">
        <v>876</v>
      </c>
      <c r="F312" s="143" t="s">
        <v>534</v>
      </c>
      <c r="G312" s="143">
        <v>1</v>
      </c>
      <c r="H312" s="143"/>
      <c r="I312" s="143" t="str">
        <f>"17"</f>
        <v>17</v>
      </c>
      <c r="J312" s="144">
        <v>0</v>
      </c>
      <c r="K312" s="143">
        <f t="shared" si="4"/>
        <v>0</v>
      </c>
    </row>
    <row r="313" spans="1:11" ht="58.5" thickBot="1" x14ac:dyDescent="0.4">
      <c r="A313" s="158"/>
      <c r="B313" s="155"/>
      <c r="C313" s="157"/>
      <c r="D313" s="143" t="s">
        <v>88</v>
      </c>
      <c r="E313" s="146" t="s">
        <v>877</v>
      </c>
      <c r="F313" s="143" t="s">
        <v>534</v>
      </c>
      <c r="G313" s="143">
        <v>1</v>
      </c>
      <c r="H313" s="143"/>
      <c r="I313" s="143" t="str">
        <f>"16"</f>
        <v>16</v>
      </c>
      <c r="J313" s="144">
        <v>0</v>
      </c>
      <c r="K313" s="143">
        <f t="shared" si="4"/>
        <v>0</v>
      </c>
    </row>
    <row r="314" spans="1:11" ht="29.5" thickBot="1" x14ac:dyDescent="0.4">
      <c r="A314" s="158"/>
      <c r="B314" s="155"/>
      <c r="C314" s="157"/>
      <c r="D314" s="143" t="s">
        <v>89</v>
      </c>
      <c r="E314" s="146" t="s">
        <v>878</v>
      </c>
      <c r="F314" s="143" t="s">
        <v>534</v>
      </c>
      <c r="G314" s="143">
        <v>1</v>
      </c>
      <c r="H314" s="143"/>
      <c r="I314" s="143" t="str">
        <f>"15"</f>
        <v>15</v>
      </c>
      <c r="J314" s="144">
        <v>0</v>
      </c>
      <c r="K314" s="143">
        <f t="shared" si="4"/>
        <v>0</v>
      </c>
    </row>
    <row r="315" spans="1:11" ht="15" thickBot="1" x14ac:dyDescent="0.4">
      <c r="A315" s="158"/>
      <c r="B315" s="155"/>
      <c r="C315" s="157"/>
      <c r="D315" s="143" t="s">
        <v>90</v>
      </c>
      <c r="E315" s="143" t="s">
        <v>879</v>
      </c>
      <c r="F315" s="143" t="s">
        <v>534</v>
      </c>
      <c r="G315" s="143">
        <v>1</v>
      </c>
      <c r="H315" s="143"/>
      <c r="I315" s="143" t="str">
        <f>"14"</f>
        <v>14</v>
      </c>
      <c r="J315" s="144">
        <v>0</v>
      </c>
      <c r="K315" s="143">
        <f t="shared" si="4"/>
        <v>0</v>
      </c>
    </row>
    <row r="316" spans="1:11" ht="44" thickBot="1" x14ac:dyDescent="0.4">
      <c r="A316" s="158"/>
      <c r="B316" s="155"/>
      <c r="C316" s="157"/>
      <c r="D316" s="143" t="s">
        <v>91</v>
      </c>
      <c r="E316" s="146" t="s">
        <v>880</v>
      </c>
      <c r="F316" s="143" t="s">
        <v>534</v>
      </c>
      <c r="G316" s="143">
        <v>2</v>
      </c>
      <c r="H316" s="143" t="str">
        <f>"13"</f>
        <v>13</v>
      </c>
      <c r="I316" s="143" t="str">
        <f>"12"</f>
        <v>12</v>
      </c>
      <c r="J316" s="144">
        <v>0</v>
      </c>
      <c r="K316" s="143">
        <f t="shared" si="4"/>
        <v>0</v>
      </c>
    </row>
    <row r="317" spans="1:11" ht="44" thickBot="1" x14ac:dyDescent="0.4">
      <c r="A317" s="158"/>
      <c r="B317" s="155"/>
      <c r="C317" s="157"/>
      <c r="D317" s="143" t="s">
        <v>92</v>
      </c>
      <c r="E317" s="146" t="s">
        <v>881</v>
      </c>
      <c r="F317" s="143" t="s">
        <v>534</v>
      </c>
      <c r="G317" s="143">
        <v>1</v>
      </c>
      <c r="H317" s="143"/>
      <c r="I317" s="143" t="str">
        <f>"11"</f>
        <v>11</v>
      </c>
      <c r="J317" s="144">
        <v>0</v>
      </c>
      <c r="K317" s="143">
        <f t="shared" si="4"/>
        <v>0</v>
      </c>
    </row>
    <row r="318" spans="1:11" ht="15" thickBot="1" x14ac:dyDescent="0.4">
      <c r="A318" s="158"/>
      <c r="B318" s="155"/>
      <c r="C318" s="157"/>
      <c r="D318" s="143" t="s">
        <v>93</v>
      </c>
      <c r="E318" s="143" t="s">
        <v>882</v>
      </c>
      <c r="F318" s="143" t="s">
        <v>534</v>
      </c>
      <c r="G318" s="143">
        <v>1</v>
      </c>
      <c r="H318" s="143"/>
      <c r="I318" s="143" t="str">
        <f>"10"</f>
        <v>10</v>
      </c>
      <c r="J318" s="144">
        <v>0</v>
      </c>
      <c r="K318" s="143">
        <f t="shared" si="4"/>
        <v>0</v>
      </c>
    </row>
    <row r="319" spans="1:11" ht="44" thickBot="1" x14ac:dyDescent="0.4">
      <c r="A319" s="158"/>
      <c r="B319" s="155"/>
      <c r="C319" s="157"/>
      <c r="D319" s="143" t="s">
        <v>94</v>
      </c>
      <c r="E319" s="146" t="s">
        <v>883</v>
      </c>
      <c r="F319" s="143" t="s">
        <v>534</v>
      </c>
      <c r="G319" s="143">
        <v>1</v>
      </c>
      <c r="H319" s="143"/>
      <c r="I319" s="143" t="str">
        <f>"9"</f>
        <v>9</v>
      </c>
      <c r="J319" s="144">
        <v>0</v>
      </c>
      <c r="K319" s="143">
        <f t="shared" si="4"/>
        <v>0</v>
      </c>
    </row>
    <row r="320" spans="1:11" ht="44" thickBot="1" x14ac:dyDescent="0.4">
      <c r="A320" s="158"/>
      <c r="B320" s="155"/>
      <c r="C320" s="157"/>
      <c r="D320" s="143" t="s">
        <v>95</v>
      </c>
      <c r="E320" s="146" t="s">
        <v>884</v>
      </c>
      <c r="F320" s="143" t="s">
        <v>534</v>
      </c>
      <c r="G320" s="143">
        <v>1</v>
      </c>
      <c r="H320" s="143"/>
      <c r="I320" s="143" t="str">
        <f>"8"</f>
        <v>8</v>
      </c>
      <c r="J320" s="144">
        <v>0</v>
      </c>
      <c r="K320" s="143">
        <f t="shared" si="4"/>
        <v>0</v>
      </c>
    </row>
    <row r="321" spans="1:11" ht="29.5" thickBot="1" x14ac:dyDescent="0.4">
      <c r="A321" s="158"/>
      <c r="B321" s="155"/>
      <c r="C321" s="157"/>
      <c r="D321" s="143" t="s">
        <v>96</v>
      </c>
      <c r="E321" s="146" t="s">
        <v>885</v>
      </c>
      <c r="F321" s="143" t="s">
        <v>534</v>
      </c>
      <c r="G321" s="143">
        <v>1</v>
      </c>
      <c r="H321" s="143"/>
      <c r="I321" s="143" t="str">
        <f>"7"</f>
        <v>7</v>
      </c>
      <c r="J321" s="144">
        <v>0</v>
      </c>
      <c r="K321" s="143">
        <f t="shared" si="4"/>
        <v>0</v>
      </c>
    </row>
    <row r="322" spans="1:11" ht="44" thickBot="1" x14ac:dyDescent="0.4">
      <c r="A322" s="158"/>
      <c r="B322" s="155"/>
      <c r="C322" s="157"/>
      <c r="D322" s="143" t="s">
        <v>97</v>
      </c>
      <c r="E322" s="146" t="s">
        <v>886</v>
      </c>
      <c r="F322" s="143" t="s">
        <v>534</v>
      </c>
      <c r="G322" s="143">
        <v>1</v>
      </c>
      <c r="H322" s="143"/>
      <c r="I322" s="143" t="str">
        <f>"6"</f>
        <v>6</v>
      </c>
      <c r="J322" s="144">
        <v>0</v>
      </c>
      <c r="K322" s="143">
        <f t="shared" si="4"/>
        <v>0</v>
      </c>
    </row>
    <row r="323" spans="1:11" ht="73" thickBot="1" x14ac:dyDescent="0.4">
      <c r="A323" s="158"/>
      <c r="B323" s="155"/>
      <c r="C323" s="157"/>
      <c r="D323" s="143" t="s">
        <v>98</v>
      </c>
      <c r="E323" s="146" t="s">
        <v>887</v>
      </c>
      <c r="F323" s="143" t="s">
        <v>534</v>
      </c>
      <c r="G323" s="143">
        <v>2</v>
      </c>
      <c r="H323" s="143" t="str">
        <f>"5"</f>
        <v>5</v>
      </c>
      <c r="I323" s="143" t="str">
        <f>"4"</f>
        <v>4</v>
      </c>
      <c r="J323" s="144">
        <v>0</v>
      </c>
      <c r="K323" s="143">
        <f t="shared" ref="K323:K386" si="5">J323 * POWER( 2, I323)</f>
        <v>0</v>
      </c>
    </row>
    <row r="324" spans="1:11" ht="44" thickBot="1" x14ac:dyDescent="0.4">
      <c r="A324" s="158"/>
      <c r="B324" s="155"/>
      <c r="C324" s="157"/>
      <c r="D324" s="143" t="s">
        <v>99</v>
      </c>
      <c r="E324" s="146" t="s">
        <v>888</v>
      </c>
      <c r="F324" s="143" t="s">
        <v>534</v>
      </c>
      <c r="G324" s="143">
        <v>3</v>
      </c>
      <c r="H324" s="143" t="str">
        <f>"3"</f>
        <v>3</v>
      </c>
      <c r="I324" s="143" t="str">
        <f>"1"</f>
        <v>1</v>
      </c>
      <c r="J324" s="144">
        <v>0</v>
      </c>
      <c r="K324" s="143">
        <f t="shared" si="5"/>
        <v>0</v>
      </c>
    </row>
    <row r="325" spans="1:11" ht="29.5" thickBot="1" x14ac:dyDescent="0.4">
      <c r="A325" s="158"/>
      <c r="B325" s="155"/>
      <c r="C325" s="157"/>
      <c r="D325" s="143" t="s">
        <v>100</v>
      </c>
      <c r="E325" s="146" t="s">
        <v>889</v>
      </c>
      <c r="F325" s="143" t="s">
        <v>534</v>
      </c>
      <c r="G325" s="143">
        <v>1</v>
      </c>
      <c r="H325" s="143"/>
      <c r="I325" s="143" t="str">
        <f>"0"</f>
        <v>0</v>
      </c>
      <c r="J325" s="144">
        <v>0</v>
      </c>
      <c r="K325" s="143">
        <f t="shared" si="5"/>
        <v>0</v>
      </c>
    </row>
    <row r="326" spans="1:11" ht="15" thickBot="1" x14ac:dyDescent="0.4">
      <c r="A326" s="158"/>
      <c r="B326" s="155" t="s">
        <v>51</v>
      </c>
      <c r="C326" s="156" t="s">
        <v>900</v>
      </c>
      <c r="D326" s="145" t="s">
        <v>52</v>
      </c>
      <c r="E326" s="145" t="s">
        <v>891</v>
      </c>
      <c r="F326" s="145" t="s">
        <v>534</v>
      </c>
      <c r="G326" s="145">
        <v>1</v>
      </c>
      <c r="H326" s="145"/>
      <c r="I326" s="145" t="str">
        <f>"19"</f>
        <v>19</v>
      </c>
      <c r="J326" s="144">
        <v>0</v>
      </c>
      <c r="K326" s="145">
        <f t="shared" si="5"/>
        <v>0</v>
      </c>
    </row>
    <row r="327" spans="1:11" ht="15" thickBot="1" x14ac:dyDescent="0.4">
      <c r="A327" s="158"/>
      <c r="B327" s="155"/>
      <c r="C327" s="156"/>
      <c r="D327" s="145" t="s">
        <v>53</v>
      </c>
      <c r="E327" s="145" t="s">
        <v>892</v>
      </c>
      <c r="F327" s="145" t="s">
        <v>534</v>
      </c>
      <c r="G327" s="145">
        <v>1</v>
      </c>
      <c r="H327" s="145"/>
      <c r="I327" s="145" t="str">
        <f>"18"</f>
        <v>18</v>
      </c>
      <c r="J327" s="144">
        <v>0</v>
      </c>
      <c r="K327" s="145">
        <f t="shared" si="5"/>
        <v>0</v>
      </c>
    </row>
    <row r="328" spans="1:11" ht="58.5" thickBot="1" x14ac:dyDescent="0.4">
      <c r="A328" s="158"/>
      <c r="B328" s="155"/>
      <c r="C328" s="156"/>
      <c r="D328" s="145" t="s">
        <v>57</v>
      </c>
      <c r="E328" s="147" t="s">
        <v>893</v>
      </c>
      <c r="F328" s="145" t="s">
        <v>534</v>
      </c>
      <c r="G328" s="145">
        <v>6</v>
      </c>
      <c r="H328" s="145" t="str">
        <f>"17"</f>
        <v>17</v>
      </c>
      <c r="I328" s="145" t="str">
        <f>"12"</f>
        <v>12</v>
      </c>
      <c r="J328" s="144">
        <v>0</v>
      </c>
      <c r="K328" s="145">
        <f t="shared" si="5"/>
        <v>0</v>
      </c>
    </row>
    <row r="329" spans="1:11" ht="58.5" thickBot="1" x14ac:dyDescent="0.4">
      <c r="A329" s="158"/>
      <c r="B329" s="155"/>
      <c r="C329" s="156"/>
      <c r="D329" s="145" t="s">
        <v>56</v>
      </c>
      <c r="E329" s="147" t="s">
        <v>894</v>
      </c>
      <c r="F329" s="145" t="s">
        <v>534</v>
      </c>
      <c r="G329" s="145">
        <v>5</v>
      </c>
      <c r="H329" s="145" t="str">
        <f>"11"</f>
        <v>11</v>
      </c>
      <c r="I329" s="145" t="str">
        <f>"7"</f>
        <v>7</v>
      </c>
      <c r="J329" s="144">
        <v>0</v>
      </c>
      <c r="K329" s="145">
        <f t="shared" si="5"/>
        <v>0</v>
      </c>
    </row>
    <row r="330" spans="1:11" ht="73" thickBot="1" x14ac:dyDescent="0.4">
      <c r="A330" s="158"/>
      <c r="B330" s="155"/>
      <c r="C330" s="156"/>
      <c r="D330" s="145" t="s">
        <v>55</v>
      </c>
      <c r="E330" s="147" t="s">
        <v>895</v>
      </c>
      <c r="F330" s="145" t="s">
        <v>896</v>
      </c>
      <c r="G330" s="145">
        <v>5</v>
      </c>
      <c r="H330" s="145" t="str">
        <f>"6"</f>
        <v>6</v>
      </c>
      <c r="I330" s="145" t="str">
        <f>"2"</f>
        <v>2</v>
      </c>
      <c r="J330" s="144">
        <v>0</v>
      </c>
      <c r="K330" s="145">
        <f t="shared" si="5"/>
        <v>0</v>
      </c>
    </row>
    <row r="331" spans="1:11" ht="44" thickBot="1" x14ac:dyDescent="0.4">
      <c r="A331" s="158"/>
      <c r="B331" s="155"/>
      <c r="C331" s="156"/>
      <c r="D331" s="145" t="s">
        <v>58</v>
      </c>
      <c r="E331" s="147" t="s">
        <v>897</v>
      </c>
      <c r="F331" s="145" t="s">
        <v>898</v>
      </c>
      <c r="G331" s="145">
        <v>1</v>
      </c>
      <c r="H331" s="145"/>
      <c r="I331" s="145" t="str">
        <f>"1"</f>
        <v>1</v>
      </c>
      <c r="J331" s="144">
        <v>0</v>
      </c>
      <c r="K331" s="145">
        <f t="shared" si="5"/>
        <v>0</v>
      </c>
    </row>
    <row r="332" spans="1:11" ht="29.5" thickBot="1" x14ac:dyDescent="0.4">
      <c r="A332" s="158"/>
      <c r="B332" s="155"/>
      <c r="C332" s="156"/>
      <c r="D332" s="145" t="s">
        <v>54</v>
      </c>
      <c r="E332" s="147" t="s">
        <v>899</v>
      </c>
      <c r="F332" s="145" t="s">
        <v>898</v>
      </c>
      <c r="G332" s="145">
        <v>1</v>
      </c>
      <c r="H332" s="145"/>
      <c r="I332" s="145" t="str">
        <f>"0"</f>
        <v>0</v>
      </c>
      <c r="J332" s="144">
        <v>0</v>
      </c>
      <c r="K332" s="145">
        <f t="shared" si="5"/>
        <v>0</v>
      </c>
    </row>
    <row r="333" spans="1:11" ht="44" thickBot="1" x14ac:dyDescent="0.4">
      <c r="A333" s="158"/>
      <c r="B333" s="151" t="s">
        <v>50</v>
      </c>
      <c r="C333" s="150" t="s">
        <v>902</v>
      </c>
      <c r="D333" s="143" t="s">
        <v>50</v>
      </c>
      <c r="E333" s="146" t="s">
        <v>901</v>
      </c>
      <c r="F333" s="143" t="s">
        <v>534</v>
      </c>
      <c r="G333" s="143">
        <v>26</v>
      </c>
      <c r="H333" s="143" t="str">
        <f>"25"</f>
        <v>25</v>
      </c>
      <c r="I333" s="143" t="str">
        <f>"0"</f>
        <v>0</v>
      </c>
      <c r="J333" s="144">
        <v>0</v>
      </c>
      <c r="K333" s="143">
        <f t="shared" si="5"/>
        <v>0</v>
      </c>
    </row>
    <row r="334" spans="1:11" ht="15" thickBot="1" x14ac:dyDescent="0.4">
      <c r="A334" s="158"/>
      <c r="B334" s="155" t="s">
        <v>59</v>
      </c>
      <c r="C334" s="156" t="s">
        <v>911</v>
      </c>
      <c r="D334" s="145" t="s">
        <v>60</v>
      </c>
      <c r="E334" s="145" t="s">
        <v>903</v>
      </c>
      <c r="F334" s="145" t="s">
        <v>534</v>
      </c>
      <c r="G334" s="145">
        <v>1</v>
      </c>
      <c r="H334" s="145"/>
      <c r="I334" s="145" t="str">
        <f>"12"</f>
        <v>12</v>
      </c>
      <c r="J334" s="144">
        <v>0</v>
      </c>
      <c r="K334" s="145">
        <f t="shared" si="5"/>
        <v>0</v>
      </c>
    </row>
    <row r="335" spans="1:11" ht="29.5" thickBot="1" x14ac:dyDescent="0.4">
      <c r="A335" s="158"/>
      <c r="B335" s="155"/>
      <c r="C335" s="156"/>
      <c r="D335" s="145" t="s">
        <v>61</v>
      </c>
      <c r="E335" s="147" t="s">
        <v>904</v>
      </c>
      <c r="F335" s="145" t="s">
        <v>534</v>
      </c>
      <c r="G335" s="145">
        <v>5</v>
      </c>
      <c r="H335" s="145" t="str">
        <f>"11"</f>
        <v>11</v>
      </c>
      <c r="I335" s="145" t="str">
        <f>"7"</f>
        <v>7</v>
      </c>
      <c r="J335" s="144">
        <v>0</v>
      </c>
      <c r="K335" s="145">
        <f t="shared" si="5"/>
        <v>0</v>
      </c>
    </row>
    <row r="336" spans="1:11" ht="29.5" thickBot="1" x14ac:dyDescent="0.4">
      <c r="A336" s="158"/>
      <c r="B336" s="155"/>
      <c r="C336" s="156"/>
      <c r="D336" s="145" t="s">
        <v>62</v>
      </c>
      <c r="E336" s="147" t="s">
        <v>905</v>
      </c>
      <c r="F336" s="145" t="s">
        <v>534</v>
      </c>
      <c r="G336" s="145">
        <v>1</v>
      </c>
      <c r="H336" s="145"/>
      <c r="I336" s="145" t="str">
        <f>"6"</f>
        <v>6</v>
      </c>
      <c r="J336" s="144">
        <v>0</v>
      </c>
      <c r="K336" s="145">
        <f t="shared" si="5"/>
        <v>0</v>
      </c>
    </row>
    <row r="337" spans="1:11" ht="29.5" thickBot="1" x14ac:dyDescent="0.4">
      <c r="A337" s="158"/>
      <c r="B337" s="155"/>
      <c r="C337" s="156"/>
      <c r="D337" s="145" t="s">
        <v>63</v>
      </c>
      <c r="E337" s="147" t="s">
        <v>906</v>
      </c>
      <c r="F337" s="145" t="s">
        <v>896</v>
      </c>
      <c r="G337" s="145">
        <v>1</v>
      </c>
      <c r="H337" s="145"/>
      <c r="I337" s="145" t="str">
        <f>"5"</f>
        <v>5</v>
      </c>
      <c r="J337" s="144">
        <v>0</v>
      </c>
      <c r="K337" s="145">
        <f t="shared" si="5"/>
        <v>0</v>
      </c>
    </row>
    <row r="338" spans="1:11" ht="73" thickBot="1" x14ac:dyDescent="0.4">
      <c r="A338" s="158"/>
      <c r="B338" s="155"/>
      <c r="C338" s="156"/>
      <c r="D338" s="145" t="s">
        <v>64</v>
      </c>
      <c r="E338" s="147" t="s">
        <v>907</v>
      </c>
      <c r="F338" s="145" t="s">
        <v>896</v>
      </c>
      <c r="G338" s="145">
        <v>2</v>
      </c>
      <c r="H338" s="145" t="str">
        <f>"4"</f>
        <v>4</v>
      </c>
      <c r="I338" s="145" t="str">
        <f>"3"</f>
        <v>3</v>
      </c>
      <c r="J338" s="144">
        <v>0</v>
      </c>
      <c r="K338" s="145">
        <f t="shared" si="5"/>
        <v>0</v>
      </c>
    </row>
    <row r="339" spans="1:11" ht="44" thickBot="1" x14ac:dyDescent="0.4">
      <c r="A339" s="158"/>
      <c r="B339" s="155"/>
      <c r="C339" s="156"/>
      <c r="D339" s="145" t="s">
        <v>65</v>
      </c>
      <c r="E339" s="147" t="s">
        <v>908</v>
      </c>
      <c r="F339" s="145" t="s">
        <v>534</v>
      </c>
      <c r="G339" s="145">
        <v>1</v>
      </c>
      <c r="H339" s="145"/>
      <c r="I339" s="145" t="str">
        <f>"2"</f>
        <v>2</v>
      </c>
      <c r="J339" s="144">
        <v>0</v>
      </c>
      <c r="K339" s="145">
        <f t="shared" si="5"/>
        <v>0</v>
      </c>
    </row>
    <row r="340" spans="1:11" ht="44" thickBot="1" x14ac:dyDescent="0.4">
      <c r="A340" s="158"/>
      <c r="B340" s="155"/>
      <c r="C340" s="156"/>
      <c r="D340" s="145" t="s">
        <v>66</v>
      </c>
      <c r="E340" s="147" t="s">
        <v>909</v>
      </c>
      <c r="F340" s="145" t="s">
        <v>534</v>
      </c>
      <c r="G340" s="145">
        <v>1</v>
      </c>
      <c r="H340" s="145"/>
      <c r="I340" s="145" t="str">
        <f>"1"</f>
        <v>1</v>
      </c>
      <c r="J340" s="144">
        <v>0</v>
      </c>
      <c r="K340" s="145">
        <f t="shared" si="5"/>
        <v>0</v>
      </c>
    </row>
    <row r="341" spans="1:11" ht="44" thickBot="1" x14ac:dyDescent="0.4">
      <c r="A341" s="158"/>
      <c r="B341" s="155"/>
      <c r="C341" s="156"/>
      <c r="D341" s="145" t="s">
        <v>67</v>
      </c>
      <c r="E341" s="147" t="s">
        <v>910</v>
      </c>
      <c r="F341" s="145" t="s">
        <v>534</v>
      </c>
      <c r="G341" s="145">
        <v>1</v>
      </c>
      <c r="H341" s="145"/>
      <c r="I341" s="145" t="str">
        <f>"0"</f>
        <v>0</v>
      </c>
      <c r="J341" s="144">
        <v>0</v>
      </c>
      <c r="K341" s="145">
        <f t="shared" si="5"/>
        <v>0</v>
      </c>
    </row>
    <row r="342" spans="1:11" ht="58.5" thickBot="1" x14ac:dyDescent="0.4">
      <c r="A342" s="158"/>
      <c r="B342" s="155" t="s">
        <v>101</v>
      </c>
      <c r="C342" s="157" t="s">
        <v>915</v>
      </c>
      <c r="D342" s="143" t="s">
        <v>102</v>
      </c>
      <c r="E342" s="146" t="s">
        <v>912</v>
      </c>
      <c r="F342" s="143" t="s">
        <v>534</v>
      </c>
      <c r="G342" s="143">
        <v>2</v>
      </c>
      <c r="H342" s="143" t="str">
        <f>"4"</f>
        <v>4</v>
      </c>
      <c r="I342" s="143" t="str">
        <f>"3"</f>
        <v>3</v>
      </c>
      <c r="J342" s="144">
        <v>0</v>
      </c>
      <c r="K342" s="143">
        <f t="shared" si="5"/>
        <v>0</v>
      </c>
    </row>
    <row r="343" spans="1:11" ht="44" thickBot="1" x14ac:dyDescent="0.4">
      <c r="A343" s="158"/>
      <c r="B343" s="155"/>
      <c r="C343" s="157"/>
      <c r="D343" s="143" t="s">
        <v>103</v>
      </c>
      <c r="E343" s="146" t="s">
        <v>913</v>
      </c>
      <c r="F343" s="143" t="s">
        <v>896</v>
      </c>
      <c r="G343" s="143">
        <v>2</v>
      </c>
      <c r="H343" s="143" t="str">
        <f>"2"</f>
        <v>2</v>
      </c>
      <c r="I343" s="143" t="str">
        <f>"1"</f>
        <v>1</v>
      </c>
      <c r="J343" s="144">
        <v>0</v>
      </c>
      <c r="K343" s="143">
        <f t="shared" si="5"/>
        <v>0</v>
      </c>
    </row>
    <row r="344" spans="1:11" ht="44" thickBot="1" x14ac:dyDescent="0.4">
      <c r="A344" s="158"/>
      <c r="B344" s="155"/>
      <c r="C344" s="157"/>
      <c r="D344" s="143" t="s">
        <v>104</v>
      </c>
      <c r="E344" s="146" t="s">
        <v>914</v>
      </c>
      <c r="F344" s="143" t="s">
        <v>534</v>
      </c>
      <c r="G344" s="143">
        <v>1</v>
      </c>
      <c r="H344" s="143"/>
      <c r="I344" s="143" t="str">
        <f>"0"</f>
        <v>0</v>
      </c>
      <c r="J344" s="144">
        <v>0</v>
      </c>
      <c r="K344" s="143">
        <f t="shared" si="5"/>
        <v>0</v>
      </c>
    </row>
    <row r="345" spans="1:11" ht="58.5" thickBot="1" x14ac:dyDescent="0.4">
      <c r="A345" s="158"/>
      <c r="B345" s="155" t="s">
        <v>105</v>
      </c>
      <c r="C345" s="156" t="s">
        <v>927</v>
      </c>
      <c r="D345" s="145" t="s">
        <v>106</v>
      </c>
      <c r="E345" s="147" t="s">
        <v>916</v>
      </c>
      <c r="F345" s="145" t="s">
        <v>917</v>
      </c>
      <c r="G345" s="145">
        <v>1</v>
      </c>
      <c r="H345" s="145"/>
      <c r="I345" s="145" t="str">
        <f>"31"</f>
        <v>31</v>
      </c>
      <c r="J345" s="144">
        <v>0</v>
      </c>
      <c r="K345" s="145">
        <f t="shared" si="5"/>
        <v>0</v>
      </c>
    </row>
    <row r="346" spans="1:11" ht="58.5" thickBot="1" x14ac:dyDescent="0.4">
      <c r="A346" s="158"/>
      <c r="B346" s="155"/>
      <c r="C346" s="156"/>
      <c r="D346" s="145" t="s">
        <v>441</v>
      </c>
      <c r="E346" s="147" t="s">
        <v>918</v>
      </c>
      <c r="F346" s="145" t="s">
        <v>534</v>
      </c>
      <c r="G346" s="145">
        <v>1</v>
      </c>
      <c r="H346" s="145"/>
      <c r="I346" s="145" t="str">
        <f>"30"</f>
        <v>30</v>
      </c>
      <c r="J346" s="144">
        <v>0</v>
      </c>
      <c r="K346" s="145">
        <f t="shared" si="5"/>
        <v>0</v>
      </c>
    </row>
    <row r="347" spans="1:11" ht="87.5" thickBot="1" x14ac:dyDescent="0.4">
      <c r="A347" s="158"/>
      <c r="B347" s="155"/>
      <c r="C347" s="156"/>
      <c r="D347" s="145" t="s">
        <v>442</v>
      </c>
      <c r="E347" s="147" t="s">
        <v>919</v>
      </c>
      <c r="F347" s="145" t="s">
        <v>917</v>
      </c>
      <c r="G347" s="145">
        <v>1</v>
      </c>
      <c r="H347" s="145"/>
      <c r="I347" s="145" t="str">
        <f>"29"</f>
        <v>29</v>
      </c>
      <c r="J347" s="144">
        <v>0</v>
      </c>
      <c r="K347" s="145">
        <f t="shared" si="5"/>
        <v>0</v>
      </c>
    </row>
    <row r="348" spans="1:11" ht="15" thickBot="1" x14ac:dyDescent="0.4">
      <c r="A348" s="158"/>
      <c r="B348" s="155"/>
      <c r="C348" s="156"/>
      <c r="D348" s="145" t="s">
        <v>443</v>
      </c>
      <c r="E348" s="145" t="s">
        <v>920</v>
      </c>
      <c r="F348" s="145" t="s">
        <v>896</v>
      </c>
      <c r="G348" s="145">
        <v>1</v>
      </c>
      <c r="H348" s="145"/>
      <c r="I348" s="145" t="str">
        <f>"6"</f>
        <v>6</v>
      </c>
      <c r="J348" s="144">
        <v>0</v>
      </c>
      <c r="K348" s="145">
        <f t="shared" si="5"/>
        <v>0</v>
      </c>
    </row>
    <row r="349" spans="1:11" ht="15" thickBot="1" x14ac:dyDescent="0.4">
      <c r="A349" s="158"/>
      <c r="B349" s="155"/>
      <c r="C349" s="156"/>
      <c r="D349" s="145" t="s">
        <v>444</v>
      </c>
      <c r="E349" s="145" t="s">
        <v>921</v>
      </c>
      <c r="F349" s="145" t="s">
        <v>896</v>
      </c>
      <c r="G349" s="145">
        <v>1</v>
      </c>
      <c r="H349" s="145"/>
      <c r="I349" s="145" t="str">
        <f>"5"</f>
        <v>5</v>
      </c>
      <c r="J349" s="144">
        <v>0</v>
      </c>
      <c r="K349" s="145">
        <f t="shared" si="5"/>
        <v>0</v>
      </c>
    </row>
    <row r="350" spans="1:11" ht="15" thickBot="1" x14ac:dyDescent="0.4">
      <c r="A350" s="158"/>
      <c r="B350" s="155"/>
      <c r="C350" s="156"/>
      <c r="D350" s="145" t="s">
        <v>107</v>
      </c>
      <c r="E350" s="145" t="s">
        <v>922</v>
      </c>
      <c r="F350" s="145" t="s">
        <v>898</v>
      </c>
      <c r="G350" s="145">
        <v>1</v>
      </c>
      <c r="H350" s="145"/>
      <c r="I350" s="145" t="str">
        <f>"4"</f>
        <v>4</v>
      </c>
      <c r="J350" s="144">
        <v>0</v>
      </c>
      <c r="K350" s="145">
        <f t="shared" si="5"/>
        <v>0</v>
      </c>
    </row>
    <row r="351" spans="1:11" ht="44" thickBot="1" x14ac:dyDescent="0.4">
      <c r="A351" s="158"/>
      <c r="B351" s="155"/>
      <c r="C351" s="156"/>
      <c r="D351" s="145" t="s">
        <v>108</v>
      </c>
      <c r="E351" s="147" t="s">
        <v>923</v>
      </c>
      <c r="F351" s="145" t="s">
        <v>917</v>
      </c>
      <c r="G351" s="145">
        <v>1</v>
      </c>
      <c r="H351" s="145"/>
      <c r="I351" s="145" t="str">
        <f>"3"</f>
        <v>3</v>
      </c>
      <c r="J351" s="144">
        <v>0</v>
      </c>
      <c r="K351" s="145">
        <f t="shared" si="5"/>
        <v>0</v>
      </c>
    </row>
    <row r="352" spans="1:11" ht="15" thickBot="1" x14ac:dyDescent="0.4">
      <c r="A352" s="158"/>
      <c r="B352" s="155"/>
      <c r="C352" s="156"/>
      <c r="D352" s="145" t="s">
        <v>109</v>
      </c>
      <c r="E352" s="145" t="s">
        <v>924</v>
      </c>
      <c r="F352" s="145" t="s">
        <v>534</v>
      </c>
      <c r="G352" s="145">
        <v>1</v>
      </c>
      <c r="H352" s="145"/>
      <c r="I352" s="145" t="str">
        <f>"2"</f>
        <v>2</v>
      </c>
      <c r="J352" s="144">
        <v>0</v>
      </c>
      <c r="K352" s="145">
        <f t="shared" si="5"/>
        <v>0</v>
      </c>
    </row>
    <row r="353" spans="1:11" ht="15" thickBot="1" x14ac:dyDescent="0.4">
      <c r="A353" s="158"/>
      <c r="B353" s="155"/>
      <c r="C353" s="156"/>
      <c r="D353" s="145" t="s">
        <v>110</v>
      </c>
      <c r="E353" s="145" t="s">
        <v>925</v>
      </c>
      <c r="F353" s="145" t="s">
        <v>534</v>
      </c>
      <c r="G353" s="145">
        <v>1</v>
      </c>
      <c r="H353" s="145"/>
      <c r="I353" s="145" t="str">
        <f>"1"</f>
        <v>1</v>
      </c>
      <c r="J353" s="144">
        <v>0</v>
      </c>
      <c r="K353" s="145">
        <f t="shared" si="5"/>
        <v>0</v>
      </c>
    </row>
    <row r="354" spans="1:11" ht="29.5" thickBot="1" x14ac:dyDescent="0.4">
      <c r="A354" s="158"/>
      <c r="B354" s="155"/>
      <c r="C354" s="156"/>
      <c r="D354" s="145" t="s">
        <v>111</v>
      </c>
      <c r="E354" s="147" t="s">
        <v>926</v>
      </c>
      <c r="F354" s="145" t="s">
        <v>534</v>
      </c>
      <c r="G354" s="145">
        <v>1</v>
      </c>
      <c r="H354" s="145"/>
      <c r="I354" s="145" t="str">
        <f>"0"</f>
        <v>0</v>
      </c>
      <c r="J354" s="144">
        <v>0</v>
      </c>
      <c r="K354" s="145">
        <f t="shared" si="5"/>
        <v>0</v>
      </c>
    </row>
    <row r="355" spans="1:11" ht="58.5" thickBot="1" x14ac:dyDescent="0.4">
      <c r="A355" s="158"/>
      <c r="B355" s="155" t="s">
        <v>68</v>
      </c>
      <c r="C355" s="157" t="s">
        <v>939</v>
      </c>
      <c r="D355" s="143" t="s">
        <v>69</v>
      </c>
      <c r="E355" s="146" t="s">
        <v>928</v>
      </c>
      <c r="F355" s="143" t="s">
        <v>917</v>
      </c>
      <c r="G355" s="143">
        <v>22</v>
      </c>
      <c r="H355" s="143" t="str">
        <f>"31"</f>
        <v>31</v>
      </c>
      <c r="I355" s="143" t="str">
        <f>"10"</f>
        <v>10</v>
      </c>
      <c r="J355" s="144">
        <v>0</v>
      </c>
      <c r="K355" s="143">
        <f t="shared" si="5"/>
        <v>0</v>
      </c>
    </row>
    <row r="356" spans="1:11" ht="58.5" thickBot="1" x14ac:dyDescent="0.4">
      <c r="A356" s="158"/>
      <c r="B356" s="155"/>
      <c r="C356" s="157"/>
      <c r="D356" s="143" t="s">
        <v>70</v>
      </c>
      <c r="E356" s="146" t="s">
        <v>929</v>
      </c>
      <c r="F356" s="143" t="s">
        <v>896</v>
      </c>
      <c r="G356" s="143">
        <v>1</v>
      </c>
      <c r="H356" s="143"/>
      <c r="I356" s="143" t="str">
        <f>"9"</f>
        <v>9</v>
      </c>
      <c r="J356" s="144">
        <v>0</v>
      </c>
      <c r="K356" s="143">
        <f t="shared" si="5"/>
        <v>0</v>
      </c>
    </row>
    <row r="357" spans="1:11" ht="58.5" thickBot="1" x14ac:dyDescent="0.4">
      <c r="A357" s="158"/>
      <c r="B357" s="155"/>
      <c r="C357" s="157"/>
      <c r="D357" s="143" t="s">
        <v>71</v>
      </c>
      <c r="E357" s="146" t="s">
        <v>930</v>
      </c>
      <c r="F357" s="143" t="s">
        <v>896</v>
      </c>
      <c r="G357" s="143">
        <v>1</v>
      </c>
      <c r="H357" s="143"/>
      <c r="I357" s="143" t="str">
        <f>"8"</f>
        <v>8</v>
      </c>
      <c r="J357" s="144">
        <v>0</v>
      </c>
      <c r="K357" s="143">
        <f t="shared" si="5"/>
        <v>0</v>
      </c>
    </row>
    <row r="358" spans="1:11" ht="58.5" thickBot="1" x14ac:dyDescent="0.4">
      <c r="A358" s="158"/>
      <c r="B358" s="155"/>
      <c r="C358" s="157"/>
      <c r="D358" s="143" t="s">
        <v>72</v>
      </c>
      <c r="E358" s="146" t="s">
        <v>931</v>
      </c>
      <c r="F358" s="143" t="s">
        <v>896</v>
      </c>
      <c r="G358" s="143">
        <v>1</v>
      </c>
      <c r="H358" s="143"/>
      <c r="I358" s="143" t="str">
        <f>"7"</f>
        <v>7</v>
      </c>
      <c r="J358" s="144">
        <v>0</v>
      </c>
      <c r="K358" s="143">
        <f t="shared" si="5"/>
        <v>0</v>
      </c>
    </row>
    <row r="359" spans="1:11" ht="58.5" thickBot="1" x14ac:dyDescent="0.4">
      <c r="A359" s="158"/>
      <c r="B359" s="155"/>
      <c r="C359" s="157"/>
      <c r="D359" s="143" t="s">
        <v>73</v>
      </c>
      <c r="E359" s="146" t="s">
        <v>932</v>
      </c>
      <c r="F359" s="143" t="s">
        <v>896</v>
      </c>
      <c r="G359" s="143">
        <v>1</v>
      </c>
      <c r="H359" s="143"/>
      <c r="I359" s="143" t="str">
        <f>"6"</f>
        <v>6</v>
      </c>
      <c r="J359" s="144">
        <v>0</v>
      </c>
      <c r="K359" s="143">
        <f t="shared" si="5"/>
        <v>0</v>
      </c>
    </row>
    <row r="360" spans="1:11" ht="58.5" thickBot="1" x14ac:dyDescent="0.4">
      <c r="A360" s="158"/>
      <c r="B360" s="155"/>
      <c r="C360" s="157"/>
      <c r="D360" s="143" t="s">
        <v>74</v>
      </c>
      <c r="E360" s="146" t="s">
        <v>933</v>
      </c>
      <c r="F360" s="143" t="s">
        <v>896</v>
      </c>
      <c r="G360" s="143">
        <v>1</v>
      </c>
      <c r="H360" s="143"/>
      <c r="I360" s="143" t="str">
        <f>"5"</f>
        <v>5</v>
      </c>
      <c r="J360" s="144">
        <v>0</v>
      </c>
      <c r="K360" s="143">
        <f t="shared" si="5"/>
        <v>0</v>
      </c>
    </row>
    <row r="361" spans="1:11" ht="58.5" thickBot="1" x14ac:dyDescent="0.4">
      <c r="A361" s="158"/>
      <c r="B361" s="155"/>
      <c r="C361" s="157"/>
      <c r="D361" s="143" t="s">
        <v>75</v>
      </c>
      <c r="E361" s="146" t="s">
        <v>934</v>
      </c>
      <c r="F361" s="143" t="s">
        <v>896</v>
      </c>
      <c r="G361" s="143">
        <v>1</v>
      </c>
      <c r="H361" s="143"/>
      <c r="I361" s="143" t="str">
        <f>"4"</f>
        <v>4</v>
      </c>
      <c r="J361" s="144">
        <v>0</v>
      </c>
      <c r="K361" s="143">
        <f t="shared" si="5"/>
        <v>0</v>
      </c>
    </row>
    <row r="362" spans="1:11" ht="58.5" thickBot="1" x14ac:dyDescent="0.4">
      <c r="A362" s="158"/>
      <c r="B362" s="155"/>
      <c r="C362" s="157"/>
      <c r="D362" s="143" t="s">
        <v>76</v>
      </c>
      <c r="E362" s="146" t="s">
        <v>935</v>
      </c>
      <c r="F362" s="143" t="s">
        <v>896</v>
      </c>
      <c r="G362" s="143">
        <v>1</v>
      </c>
      <c r="H362" s="143"/>
      <c r="I362" s="143" t="str">
        <f>"3"</f>
        <v>3</v>
      </c>
      <c r="J362" s="144">
        <v>0</v>
      </c>
      <c r="K362" s="143">
        <f t="shared" si="5"/>
        <v>0</v>
      </c>
    </row>
    <row r="363" spans="1:11" ht="58.5" thickBot="1" x14ac:dyDescent="0.4">
      <c r="A363" s="158"/>
      <c r="B363" s="155"/>
      <c r="C363" s="157"/>
      <c r="D363" s="143" t="s">
        <v>77</v>
      </c>
      <c r="E363" s="146" t="s">
        <v>936</v>
      </c>
      <c r="F363" s="143" t="s">
        <v>896</v>
      </c>
      <c r="G363" s="143">
        <v>1</v>
      </c>
      <c r="H363" s="143"/>
      <c r="I363" s="143" t="str">
        <f>"2"</f>
        <v>2</v>
      </c>
      <c r="J363" s="144">
        <v>0</v>
      </c>
      <c r="K363" s="143">
        <f t="shared" si="5"/>
        <v>0</v>
      </c>
    </row>
    <row r="364" spans="1:11" ht="58.5" thickBot="1" x14ac:dyDescent="0.4">
      <c r="A364" s="158"/>
      <c r="B364" s="155"/>
      <c r="C364" s="157"/>
      <c r="D364" s="143" t="s">
        <v>78</v>
      </c>
      <c r="E364" s="146" t="s">
        <v>937</v>
      </c>
      <c r="F364" s="143" t="s">
        <v>896</v>
      </c>
      <c r="G364" s="143">
        <v>1</v>
      </c>
      <c r="H364" s="143"/>
      <c r="I364" s="143" t="str">
        <f>"1"</f>
        <v>1</v>
      </c>
      <c r="J364" s="144">
        <v>0</v>
      </c>
      <c r="K364" s="143">
        <f t="shared" si="5"/>
        <v>0</v>
      </c>
    </row>
    <row r="365" spans="1:11" ht="58.5" thickBot="1" x14ac:dyDescent="0.4">
      <c r="A365" s="158"/>
      <c r="B365" s="155"/>
      <c r="C365" s="157"/>
      <c r="D365" s="143" t="s">
        <v>79</v>
      </c>
      <c r="E365" s="146" t="s">
        <v>938</v>
      </c>
      <c r="F365" s="143" t="s">
        <v>896</v>
      </c>
      <c r="G365" s="143">
        <v>1</v>
      </c>
      <c r="H365" s="143"/>
      <c r="I365" s="143" t="str">
        <f>"0"</f>
        <v>0</v>
      </c>
      <c r="J365" s="144">
        <v>0</v>
      </c>
      <c r="K365" s="143">
        <f t="shared" si="5"/>
        <v>0</v>
      </c>
    </row>
    <row r="366" spans="1:11" ht="44" thickBot="1" x14ac:dyDescent="0.4">
      <c r="A366" s="158"/>
      <c r="B366" s="151" t="s">
        <v>112</v>
      </c>
      <c r="C366" s="152" t="s">
        <v>941</v>
      </c>
      <c r="D366" s="145" t="s">
        <v>113</v>
      </c>
      <c r="E366" s="147" t="s">
        <v>940</v>
      </c>
      <c r="F366" s="145" t="s">
        <v>896</v>
      </c>
      <c r="G366" s="145">
        <v>30</v>
      </c>
      <c r="H366" s="145" t="str">
        <f>"29"</f>
        <v>29</v>
      </c>
      <c r="I366" s="145" t="str">
        <f>"0"</f>
        <v>0</v>
      </c>
      <c r="J366" s="144">
        <v>0</v>
      </c>
      <c r="K366" s="145">
        <f t="shared" si="5"/>
        <v>0</v>
      </c>
    </row>
    <row r="367" spans="1:11" ht="15" thickBot="1" x14ac:dyDescent="0.4">
      <c r="A367" s="158"/>
      <c r="B367" s="155" t="s">
        <v>445</v>
      </c>
      <c r="C367" s="157" t="s">
        <v>950</v>
      </c>
      <c r="D367" s="143" t="s">
        <v>446</v>
      </c>
      <c r="E367" s="143" t="s">
        <v>942</v>
      </c>
      <c r="F367" s="143" t="s">
        <v>534</v>
      </c>
      <c r="G367" s="143">
        <v>4</v>
      </c>
      <c r="H367" s="143" t="str">
        <f>"10"</f>
        <v>10</v>
      </c>
      <c r="I367" s="143" t="str">
        <f>"7"</f>
        <v>7</v>
      </c>
      <c r="J367" s="144">
        <v>0</v>
      </c>
      <c r="K367" s="143">
        <f t="shared" si="5"/>
        <v>0</v>
      </c>
    </row>
    <row r="368" spans="1:11" ht="44" thickBot="1" x14ac:dyDescent="0.4">
      <c r="A368" s="158"/>
      <c r="B368" s="155"/>
      <c r="C368" s="157"/>
      <c r="D368" s="143" t="s">
        <v>447</v>
      </c>
      <c r="E368" s="146" t="s">
        <v>943</v>
      </c>
      <c r="F368" s="143" t="s">
        <v>534</v>
      </c>
      <c r="G368" s="143">
        <v>1</v>
      </c>
      <c r="H368" s="143"/>
      <c r="I368" s="143" t="str">
        <f>"6"</f>
        <v>6</v>
      </c>
      <c r="J368" s="144">
        <v>0</v>
      </c>
      <c r="K368" s="143">
        <f t="shared" si="5"/>
        <v>0</v>
      </c>
    </row>
    <row r="369" spans="1:11" ht="44" thickBot="1" x14ac:dyDescent="0.4">
      <c r="A369" s="158"/>
      <c r="B369" s="155"/>
      <c r="C369" s="157"/>
      <c r="D369" s="143" t="s">
        <v>448</v>
      </c>
      <c r="E369" s="146" t="s">
        <v>944</v>
      </c>
      <c r="F369" s="143" t="s">
        <v>534</v>
      </c>
      <c r="G369" s="143">
        <v>1</v>
      </c>
      <c r="H369" s="143"/>
      <c r="I369" s="143" t="str">
        <f>"5"</f>
        <v>5</v>
      </c>
      <c r="J369" s="144">
        <v>0</v>
      </c>
      <c r="K369" s="143">
        <f t="shared" si="5"/>
        <v>0</v>
      </c>
    </row>
    <row r="370" spans="1:11" ht="44" thickBot="1" x14ac:dyDescent="0.4">
      <c r="A370" s="158"/>
      <c r="B370" s="155"/>
      <c r="C370" s="157"/>
      <c r="D370" s="143" t="s">
        <v>449</v>
      </c>
      <c r="E370" s="146" t="s">
        <v>945</v>
      </c>
      <c r="F370" s="143" t="s">
        <v>534</v>
      </c>
      <c r="G370" s="143">
        <v>1</v>
      </c>
      <c r="H370" s="143"/>
      <c r="I370" s="143" t="str">
        <f>"4"</f>
        <v>4</v>
      </c>
      <c r="J370" s="144">
        <v>0</v>
      </c>
      <c r="K370" s="143">
        <f t="shared" si="5"/>
        <v>0</v>
      </c>
    </row>
    <row r="371" spans="1:11" ht="44" thickBot="1" x14ac:dyDescent="0.4">
      <c r="A371" s="158"/>
      <c r="B371" s="155"/>
      <c r="C371" s="157"/>
      <c r="D371" s="143" t="s">
        <v>450</v>
      </c>
      <c r="E371" s="146" t="s">
        <v>946</v>
      </c>
      <c r="F371" s="143" t="s">
        <v>534</v>
      </c>
      <c r="G371" s="143">
        <v>1</v>
      </c>
      <c r="H371" s="143"/>
      <c r="I371" s="143" t="str">
        <f>"3"</f>
        <v>3</v>
      </c>
      <c r="J371" s="144">
        <v>0</v>
      </c>
      <c r="K371" s="143">
        <f t="shared" si="5"/>
        <v>0</v>
      </c>
    </row>
    <row r="372" spans="1:11" ht="44" thickBot="1" x14ac:dyDescent="0.4">
      <c r="A372" s="158"/>
      <c r="B372" s="155"/>
      <c r="C372" s="157"/>
      <c r="D372" s="143" t="s">
        <v>451</v>
      </c>
      <c r="E372" s="146" t="s">
        <v>947</v>
      </c>
      <c r="F372" s="143" t="s">
        <v>534</v>
      </c>
      <c r="G372" s="143">
        <v>1</v>
      </c>
      <c r="H372" s="143"/>
      <c r="I372" s="143" t="str">
        <f>"2"</f>
        <v>2</v>
      </c>
      <c r="J372" s="144">
        <v>0</v>
      </c>
      <c r="K372" s="143">
        <f t="shared" si="5"/>
        <v>0</v>
      </c>
    </row>
    <row r="373" spans="1:11" ht="44" thickBot="1" x14ac:dyDescent="0.4">
      <c r="A373" s="158"/>
      <c r="B373" s="155"/>
      <c r="C373" s="157"/>
      <c r="D373" s="143" t="s">
        <v>452</v>
      </c>
      <c r="E373" s="146" t="s">
        <v>948</v>
      </c>
      <c r="F373" s="143" t="s">
        <v>534</v>
      </c>
      <c r="G373" s="143">
        <v>1</v>
      </c>
      <c r="H373" s="143"/>
      <c r="I373" s="143" t="str">
        <f>"1"</f>
        <v>1</v>
      </c>
      <c r="J373" s="144">
        <v>0</v>
      </c>
      <c r="K373" s="143">
        <f t="shared" si="5"/>
        <v>0</v>
      </c>
    </row>
    <row r="374" spans="1:11" ht="15" thickBot="1" x14ac:dyDescent="0.4">
      <c r="A374" s="158"/>
      <c r="B374" s="155"/>
      <c r="C374" s="157"/>
      <c r="D374" s="143" t="s">
        <v>453</v>
      </c>
      <c r="E374" s="143" t="s">
        <v>949</v>
      </c>
      <c r="F374" s="143" t="s">
        <v>534</v>
      </c>
      <c r="G374" s="143">
        <v>1</v>
      </c>
      <c r="H374" s="143"/>
      <c r="I374" s="143" t="str">
        <f>"0"</f>
        <v>0</v>
      </c>
      <c r="J374" s="144">
        <v>0</v>
      </c>
      <c r="K374" s="143">
        <f t="shared" si="5"/>
        <v>0</v>
      </c>
    </row>
    <row r="375" spans="1:11" ht="44" thickBot="1" x14ac:dyDescent="0.4">
      <c r="A375" s="158"/>
      <c r="B375" s="155" t="s">
        <v>454</v>
      </c>
      <c r="C375" s="156" t="s">
        <v>959</v>
      </c>
      <c r="D375" s="145" t="s">
        <v>455</v>
      </c>
      <c r="E375" s="147" t="s">
        <v>951</v>
      </c>
      <c r="F375" s="145" t="s">
        <v>534</v>
      </c>
      <c r="G375" s="145">
        <v>7</v>
      </c>
      <c r="H375" s="145" t="str">
        <f>"13"</f>
        <v>13</v>
      </c>
      <c r="I375" s="145" t="str">
        <f>"7"</f>
        <v>7</v>
      </c>
      <c r="J375" s="144">
        <v>0</v>
      </c>
      <c r="K375" s="145">
        <f t="shared" si="5"/>
        <v>0</v>
      </c>
    </row>
    <row r="376" spans="1:11" ht="15" thickBot="1" x14ac:dyDescent="0.4">
      <c r="A376" s="158"/>
      <c r="B376" s="155"/>
      <c r="C376" s="156"/>
      <c r="D376" s="145" t="s">
        <v>456</v>
      </c>
      <c r="E376" s="145" t="s">
        <v>952</v>
      </c>
      <c r="F376" s="145" t="s">
        <v>534</v>
      </c>
      <c r="G376" s="145">
        <v>1</v>
      </c>
      <c r="H376" s="145"/>
      <c r="I376" s="145" t="str">
        <f>"6"</f>
        <v>6</v>
      </c>
      <c r="J376" s="144">
        <v>0</v>
      </c>
      <c r="K376" s="145">
        <f t="shared" si="5"/>
        <v>0</v>
      </c>
    </row>
    <row r="377" spans="1:11" ht="44" thickBot="1" x14ac:dyDescent="0.4">
      <c r="A377" s="158"/>
      <c r="B377" s="155"/>
      <c r="C377" s="156"/>
      <c r="D377" s="145" t="s">
        <v>457</v>
      </c>
      <c r="E377" s="147" t="s">
        <v>953</v>
      </c>
      <c r="F377" s="145" t="s">
        <v>534</v>
      </c>
      <c r="G377" s="145">
        <v>1</v>
      </c>
      <c r="H377" s="145"/>
      <c r="I377" s="145" t="str">
        <f>"5"</f>
        <v>5</v>
      </c>
      <c r="J377" s="144">
        <v>0</v>
      </c>
      <c r="K377" s="145">
        <f t="shared" si="5"/>
        <v>0</v>
      </c>
    </row>
    <row r="378" spans="1:11" ht="44" thickBot="1" x14ac:dyDescent="0.4">
      <c r="A378" s="158"/>
      <c r="B378" s="155"/>
      <c r="C378" s="156"/>
      <c r="D378" s="145" t="s">
        <v>458</v>
      </c>
      <c r="E378" s="147" t="s">
        <v>954</v>
      </c>
      <c r="F378" s="145" t="s">
        <v>534</v>
      </c>
      <c r="G378" s="145">
        <v>1</v>
      </c>
      <c r="H378" s="145"/>
      <c r="I378" s="145" t="str">
        <f>"4"</f>
        <v>4</v>
      </c>
      <c r="J378" s="144">
        <v>0</v>
      </c>
      <c r="K378" s="145">
        <f t="shared" si="5"/>
        <v>0</v>
      </c>
    </row>
    <row r="379" spans="1:11" ht="44" thickBot="1" x14ac:dyDescent="0.4">
      <c r="A379" s="158"/>
      <c r="B379" s="155"/>
      <c r="C379" s="156"/>
      <c r="D379" s="145" t="s">
        <v>459</v>
      </c>
      <c r="E379" s="147" t="s">
        <v>955</v>
      </c>
      <c r="F379" s="145" t="s">
        <v>534</v>
      </c>
      <c r="G379" s="145">
        <v>1</v>
      </c>
      <c r="H379" s="145"/>
      <c r="I379" s="145" t="str">
        <f>"3"</f>
        <v>3</v>
      </c>
      <c r="J379" s="144">
        <v>0</v>
      </c>
      <c r="K379" s="145">
        <f t="shared" si="5"/>
        <v>0</v>
      </c>
    </row>
    <row r="380" spans="1:11" ht="44" thickBot="1" x14ac:dyDescent="0.4">
      <c r="A380" s="158"/>
      <c r="B380" s="155"/>
      <c r="C380" s="156"/>
      <c r="D380" s="145" t="s">
        <v>460</v>
      </c>
      <c r="E380" s="147" t="s">
        <v>956</v>
      </c>
      <c r="F380" s="145" t="s">
        <v>534</v>
      </c>
      <c r="G380" s="145">
        <v>1</v>
      </c>
      <c r="H380" s="145"/>
      <c r="I380" s="145" t="str">
        <f>"2"</f>
        <v>2</v>
      </c>
      <c r="J380" s="144">
        <v>0</v>
      </c>
      <c r="K380" s="145">
        <f t="shared" si="5"/>
        <v>0</v>
      </c>
    </row>
    <row r="381" spans="1:11" ht="29.5" thickBot="1" x14ac:dyDescent="0.4">
      <c r="A381" s="158"/>
      <c r="B381" s="155"/>
      <c r="C381" s="156"/>
      <c r="D381" s="145" t="s">
        <v>461</v>
      </c>
      <c r="E381" s="147" t="s">
        <v>957</v>
      </c>
      <c r="F381" s="145" t="s">
        <v>534</v>
      </c>
      <c r="G381" s="145">
        <v>1</v>
      </c>
      <c r="H381" s="145"/>
      <c r="I381" s="145" t="str">
        <f>"1"</f>
        <v>1</v>
      </c>
      <c r="J381" s="144">
        <v>0</v>
      </c>
      <c r="K381" s="145">
        <f t="shared" si="5"/>
        <v>0</v>
      </c>
    </row>
    <row r="382" spans="1:11" ht="29.5" thickBot="1" x14ac:dyDescent="0.4">
      <c r="A382" s="158"/>
      <c r="B382" s="155"/>
      <c r="C382" s="156"/>
      <c r="D382" s="145" t="s">
        <v>462</v>
      </c>
      <c r="E382" s="147" t="s">
        <v>958</v>
      </c>
      <c r="F382" s="145" t="s">
        <v>534</v>
      </c>
      <c r="G382" s="145">
        <v>1</v>
      </c>
      <c r="H382" s="145"/>
      <c r="I382" s="145" t="str">
        <f>"0"</f>
        <v>0</v>
      </c>
      <c r="J382" s="144">
        <v>0</v>
      </c>
      <c r="K382" s="145">
        <f t="shared" si="5"/>
        <v>0</v>
      </c>
    </row>
    <row r="383" spans="1:11" ht="102" thickBot="1" x14ac:dyDescent="0.4">
      <c r="A383" s="158"/>
      <c r="B383" s="155" t="s">
        <v>463</v>
      </c>
      <c r="C383" s="157" t="s">
        <v>962</v>
      </c>
      <c r="D383" s="143" t="s">
        <v>464</v>
      </c>
      <c r="E383" s="146" t="s">
        <v>960</v>
      </c>
      <c r="F383" s="143" t="s">
        <v>534</v>
      </c>
      <c r="G383" s="143">
        <v>4</v>
      </c>
      <c r="H383" s="143" t="str">
        <f>"8"</f>
        <v>8</v>
      </c>
      <c r="I383" s="143" t="str">
        <f>"5"</f>
        <v>5</v>
      </c>
      <c r="J383" s="144">
        <v>0</v>
      </c>
      <c r="K383" s="143">
        <f t="shared" si="5"/>
        <v>0</v>
      </c>
    </row>
    <row r="384" spans="1:11" ht="102" thickBot="1" x14ac:dyDescent="0.4">
      <c r="A384" s="158"/>
      <c r="B384" s="155"/>
      <c r="C384" s="157"/>
      <c r="D384" s="143" t="s">
        <v>465</v>
      </c>
      <c r="E384" s="146" t="s">
        <v>961</v>
      </c>
      <c r="F384" s="143" t="s">
        <v>534</v>
      </c>
      <c r="G384" s="143">
        <v>4</v>
      </c>
      <c r="H384" s="143" t="str">
        <f>"3"</f>
        <v>3</v>
      </c>
      <c r="I384" s="143" t="str">
        <f>"0"</f>
        <v>0</v>
      </c>
      <c r="J384" s="144">
        <v>0</v>
      </c>
      <c r="K384" s="143">
        <f t="shared" si="5"/>
        <v>0</v>
      </c>
    </row>
    <row r="385" spans="1:11" ht="15" thickBot="1" x14ac:dyDescent="0.4">
      <c r="A385" s="158"/>
      <c r="B385" s="151" t="s">
        <v>466</v>
      </c>
      <c r="C385" s="152" t="s">
        <v>964</v>
      </c>
      <c r="D385" s="145" t="s">
        <v>467</v>
      </c>
      <c r="E385" s="145" t="s">
        <v>963</v>
      </c>
      <c r="F385" s="145" t="s">
        <v>896</v>
      </c>
      <c r="G385" s="145">
        <v>19</v>
      </c>
      <c r="H385" s="145" t="str">
        <f>"18"</f>
        <v>18</v>
      </c>
      <c r="I385" s="145" t="str">
        <f>"0"</f>
        <v>0</v>
      </c>
      <c r="J385" s="144">
        <v>0</v>
      </c>
      <c r="K385" s="145">
        <f t="shared" si="5"/>
        <v>0</v>
      </c>
    </row>
    <row r="386" spans="1:11" ht="15" thickBot="1" x14ac:dyDescent="0.4">
      <c r="A386" s="158"/>
      <c r="B386" s="155" t="s">
        <v>468</v>
      </c>
      <c r="C386" s="157" t="s">
        <v>967</v>
      </c>
      <c r="D386" s="143" t="s">
        <v>469</v>
      </c>
      <c r="E386" s="143" t="s">
        <v>965</v>
      </c>
      <c r="F386" s="143" t="s">
        <v>896</v>
      </c>
      <c r="G386" s="143">
        <v>16</v>
      </c>
      <c r="H386" s="143" t="str">
        <f>"31"</f>
        <v>31</v>
      </c>
      <c r="I386" s="143" t="str">
        <f>"16"</f>
        <v>16</v>
      </c>
      <c r="J386" s="144">
        <v>0</v>
      </c>
      <c r="K386" s="143">
        <f t="shared" si="5"/>
        <v>0</v>
      </c>
    </row>
    <row r="387" spans="1:11" ht="15" thickBot="1" x14ac:dyDescent="0.4">
      <c r="A387" s="158"/>
      <c r="B387" s="155"/>
      <c r="C387" s="157"/>
      <c r="D387" s="143" t="s">
        <v>470</v>
      </c>
      <c r="E387" s="143" t="s">
        <v>966</v>
      </c>
      <c r="F387" s="143" t="s">
        <v>896</v>
      </c>
      <c r="G387" s="143">
        <v>16</v>
      </c>
      <c r="H387" s="143" t="str">
        <f>"15"</f>
        <v>15</v>
      </c>
      <c r="I387" s="143" t="str">
        <f>"0"</f>
        <v>0</v>
      </c>
      <c r="J387" s="144">
        <v>0</v>
      </c>
      <c r="K387" s="143">
        <f t="shared" ref="K387:K450" si="6">J387 * POWER( 2, I387)</f>
        <v>0</v>
      </c>
    </row>
    <row r="388" spans="1:11" ht="15" thickBot="1" x14ac:dyDescent="0.4">
      <c r="A388" s="158"/>
      <c r="B388" s="155" t="s">
        <v>471</v>
      </c>
      <c r="C388" s="156" t="s">
        <v>970</v>
      </c>
      <c r="D388" s="145" t="s">
        <v>472</v>
      </c>
      <c r="E388" s="145" t="s">
        <v>968</v>
      </c>
      <c r="F388" s="145" t="s">
        <v>896</v>
      </c>
      <c r="G388" s="145">
        <v>16</v>
      </c>
      <c r="H388" s="145" t="str">
        <f>"31"</f>
        <v>31</v>
      </c>
      <c r="I388" s="145" t="str">
        <f>"16"</f>
        <v>16</v>
      </c>
      <c r="J388" s="144">
        <v>0</v>
      </c>
      <c r="K388" s="145">
        <f t="shared" si="6"/>
        <v>0</v>
      </c>
    </row>
    <row r="389" spans="1:11" ht="15" thickBot="1" x14ac:dyDescent="0.4">
      <c r="A389" s="158"/>
      <c r="B389" s="155"/>
      <c r="C389" s="156"/>
      <c r="D389" s="145" t="s">
        <v>473</v>
      </c>
      <c r="E389" s="145" t="s">
        <v>969</v>
      </c>
      <c r="F389" s="145" t="s">
        <v>896</v>
      </c>
      <c r="G389" s="145">
        <v>16</v>
      </c>
      <c r="H389" s="145" t="str">
        <f>"15"</f>
        <v>15</v>
      </c>
      <c r="I389" s="145" t="str">
        <f>"0"</f>
        <v>0</v>
      </c>
      <c r="J389" s="144">
        <v>0</v>
      </c>
      <c r="K389" s="145">
        <f t="shared" si="6"/>
        <v>0</v>
      </c>
    </row>
    <row r="390" spans="1:11" ht="15" thickBot="1" x14ac:dyDescent="0.4">
      <c r="A390" s="158"/>
      <c r="B390" s="155" t="s">
        <v>474</v>
      </c>
      <c r="C390" s="157" t="s">
        <v>973</v>
      </c>
      <c r="D390" s="143" t="s">
        <v>475</v>
      </c>
      <c r="E390" s="143" t="s">
        <v>971</v>
      </c>
      <c r="F390" s="143" t="s">
        <v>896</v>
      </c>
      <c r="G390" s="143">
        <v>16</v>
      </c>
      <c r="H390" s="143" t="str">
        <f>"31"</f>
        <v>31</v>
      </c>
      <c r="I390" s="143" t="str">
        <f>"16"</f>
        <v>16</v>
      </c>
      <c r="J390" s="144">
        <v>0</v>
      </c>
      <c r="K390" s="143">
        <f t="shared" si="6"/>
        <v>0</v>
      </c>
    </row>
    <row r="391" spans="1:11" ht="15" thickBot="1" x14ac:dyDescent="0.4">
      <c r="A391" s="158"/>
      <c r="B391" s="155"/>
      <c r="C391" s="157"/>
      <c r="D391" s="143" t="s">
        <v>476</v>
      </c>
      <c r="E391" s="143" t="s">
        <v>972</v>
      </c>
      <c r="F391" s="143" t="s">
        <v>896</v>
      </c>
      <c r="G391" s="143">
        <v>16</v>
      </c>
      <c r="H391" s="143" t="str">
        <f>"15"</f>
        <v>15</v>
      </c>
      <c r="I391" s="143" t="str">
        <f>"0"</f>
        <v>0</v>
      </c>
      <c r="J391" s="144">
        <v>0</v>
      </c>
      <c r="K391" s="143">
        <f t="shared" si="6"/>
        <v>0</v>
      </c>
    </row>
    <row r="392" spans="1:11" ht="15" thickBot="1" x14ac:dyDescent="0.4">
      <c r="A392" s="158"/>
      <c r="B392" s="155" t="s">
        <v>477</v>
      </c>
      <c r="C392" s="156" t="s">
        <v>976</v>
      </c>
      <c r="D392" s="145" t="s">
        <v>478</v>
      </c>
      <c r="E392" s="145" t="s">
        <v>974</v>
      </c>
      <c r="F392" s="145" t="s">
        <v>896</v>
      </c>
      <c r="G392" s="145">
        <v>16</v>
      </c>
      <c r="H392" s="145" t="str">
        <f>"31"</f>
        <v>31</v>
      </c>
      <c r="I392" s="145" t="str">
        <f>"16"</f>
        <v>16</v>
      </c>
      <c r="J392" s="144">
        <v>0</v>
      </c>
      <c r="K392" s="145">
        <f t="shared" si="6"/>
        <v>0</v>
      </c>
    </row>
    <row r="393" spans="1:11" ht="15" thickBot="1" x14ac:dyDescent="0.4">
      <c r="A393" s="158"/>
      <c r="B393" s="155"/>
      <c r="C393" s="156"/>
      <c r="D393" s="145" t="s">
        <v>479</v>
      </c>
      <c r="E393" s="145" t="s">
        <v>975</v>
      </c>
      <c r="F393" s="145" t="s">
        <v>896</v>
      </c>
      <c r="G393" s="145">
        <v>16</v>
      </c>
      <c r="H393" s="145" t="str">
        <f>"15"</f>
        <v>15</v>
      </c>
      <c r="I393" s="145" t="str">
        <f>"0"</f>
        <v>0</v>
      </c>
      <c r="J393" s="144">
        <v>0</v>
      </c>
      <c r="K393" s="145">
        <f t="shared" si="6"/>
        <v>0</v>
      </c>
    </row>
    <row r="394" spans="1:11" ht="15" thickBot="1" x14ac:dyDescent="0.4">
      <c r="A394" s="158"/>
      <c r="B394" s="155" t="s">
        <v>480</v>
      </c>
      <c r="C394" s="157" t="s">
        <v>979</v>
      </c>
      <c r="D394" s="143" t="s">
        <v>481</v>
      </c>
      <c r="E394" s="143" t="s">
        <v>977</v>
      </c>
      <c r="F394" s="143" t="s">
        <v>896</v>
      </c>
      <c r="G394" s="143">
        <v>8</v>
      </c>
      <c r="H394" s="143" t="str">
        <f>"15"</f>
        <v>15</v>
      </c>
      <c r="I394" s="143" t="str">
        <f>"8"</f>
        <v>8</v>
      </c>
      <c r="J394" s="144">
        <v>0</v>
      </c>
      <c r="K394" s="143">
        <f t="shared" si="6"/>
        <v>0</v>
      </c>
    </row>
    <row r="395" spans="1:11" ht="15" thickBot="1" x14ac:dyDescent="0.4">
      <c r="A395" s="158"/>
      <c r="B395" s="155"/>
      <c r="C395" s="157"/>
      <c r="D395" s="143" t="s">
        <v>482</v>
      </c>
      <c r="E395" s="143" t="s">
        <v>978</v>
      </c>
      <c r="F395" s="143" t="s">
        <v>896</v>
      </c>
      <c r="G395" s="143">
        <v>8</v>
      </c>
      <c r="H395" s="143" t="str">
        <f>"7"</f>
        <v>7</v>
      </c>
      <c r="I395" s="143" t="str">
        <f>"0"</f>
        <v>0</v>
      </c>
      <c r="J395" s="144">
        <v>0</v>
      </c>
      <c r="K395" s="143">
        <f t="shared" si="6"/>
        <v>0</v>
      </c>
    </row>
    <row r="396" spans="1:11" ht="15" thickBot="1" x14ac:dyDescent="0.4">
      <c r="A396" s="158"/>
      <c r="B396" s="155" t="s">
        <v>483</v>
      </c>
      <c r="C396" s="156" t="s">
        <v>982</v>
      </c>
      <c r="D396" s="145" t="s">
        <v>484</v>
      </c>
      <c r="E396" s="145" t="s">
        <v>980</v>
      </c>
      <c r="F396" s="145" t="s">
        <v>896</v>
      </c>
      <c r="G396" s="145">
        <v>7</v>
      </c>
      <c r="H396" s="145" t="str">
        <f>"18"</f>
        <v>18</v>
      </c>
      <c r="I396" s="145" t="str">
        <f>"12"</f>
        <v>12</v>
      </c>
      <c r="J396" s="144">
        <v>0</v>
      </c>
      <c r="K396" s="145">
        <f t="shared" si="6"/>
        <v>0</v>
      </c>
    </row>
    <row r="397" spans="1:11" ht="15" thickBot="1" x14ac:dyDescent="0.4">
      <c r="A397" s="158"/>
      <c r="B397" s="155"/>
      <c r="C397" s="156"/>
      <c r="D397" s="145" t="s">
        <v>485</v>
      </c>
      <c r="E397" s="145" t="s">
        <v>981</v>
      </c>
      <c r="F397" s="145" t="s">
        <v>896</v>
      </c>
      <c r="G397" s="145">
        <v>12</v>
      </c>
      <c r="H397" s="145" t="str">
        <f>"11"</f>
        <v>11</v>
      </c>
      <c r="I397" s="145" t="str">
        <f>"0"</f>
        <v>0</v>
      </c>
      <c r="J397" s="144">
        <v>0</v>
      </c>
      <c r="K397" s="145">
        <f t="shared" si="6"/>
        <v>0</v>
      </c>
    </row>
    <row r="398" spans="1:11" ht="15" thickBot="1" x14ac:dyDescent="0.4">
      <c r="A398" s="158"/>
      <c r="B398" s="155" t="s">
        <v>486</v>
      </c>
      <c r="C398" s="157" t="s">
        <v>985</v>
      </c>
      <c r="D398" s="143" t="s">
        <v>487</v>
      </c>
      <c r="E398" s="143" t="s">
        <v>983</v>
      </c>
      <c r="F398" s="143" t="s">
        <v>896</v>
      </c>
      <c r="G398" s="143">
        <v>16</v>
      </c>
      <c r="H398" s="143" t="str">
        <f>"31"</f>
        <v>31</v>
      </c>
      <c r="I398" s="143" t="str">
        <f>"16"</f>
        <v>16</v>
      </c>
      <c r="J398" s="144">
        <v>0</v>
      </c>
      <c r="K398" s="143">
        <f t="shared" si="6"/>
        <v>0</v>
      </c>
    </row>
    <row r="399" spans="1:11" ht="15" thickBot="1" x14ac:dyDescent="0.4">
      <c r="A399" s="158"/>
      <c r="B399" s="155"/>
      <c r="C399" s="157"/>
      <c r="D399" s="143" t="s">
        <v>488</v>
      </c>
      <c r="E399" s="143" t="s">
        <v>984</v>
      </c>
      <c r="F399" s="143" t="s">
        <v>896</v>
      </c>
      <c r="G399" s="143">
        <v>16</v>
      </c>
      <c r="H399" s="143" t="str">
        <f>"15"</f>
        <v>15</v>
      </c>
      <c r="I399" s="143" t="str">
        <f>"0"</f>
        <v>0</v>
      </c>
      <c r="J399" s="144">
        <v>0</v>
      </c>
      <c r="K399" s="143">
        <f t="shared" si="6"/>
        <v>0</v>
      </c>
    </row>
    <row r="400" spans="1:11" ht="15" thickBot="1" x14ac:dyDescent="0.4">
      <c r="A400" s="158"/>
      <c r="B400" s="155" t="s">
        <v>489</v>
      </c>
      <c r="C400" s="156" t="s">
        <v>988</v>
      </c>
      <c r="D400" s="145" t="s">
        <v>490</v>
      </c>
      <c r="E400" s="145" t="s">
        <v>986</v>
      </c>
      <c r="F400" s="145" t="s">
        <v>896</v>
      </c>
      <c r="G400" s="145">
        <v>16</v>
      </c>
      <c r="H400" s="145" t="str">
        <f>"31"</f>
        <v>31</v>
      </c>
      <c r="I400" s="145" t="str">
        <f>"16"</f>
        <v>16</v>
      </c>
      <c r="J400" s="144">
        <v>0</v>
      </c>
      <c r="K400" s="145">
        <f t="shared" si="6"/>
        <v>0</v>
      </c>
    </row>
    <row r="401" spans="1:11" ht="15" thickBot="1" x14ac:dyDescent="0.4">
      <c r="A401" s="158"/>
      <c r="B401" s="155"/>
      <c r="C401" s="156"/>
      <c r="D401" s="145" t="s">
        <v>491</v>
      </c>
      <c r="E401" s="145" t="s">
        <v>987</v>
      </c>
      <c r="F401" s="145" t="s">
        <v>896</v>
      </c>
      <c r="G401" s="145">
        <v>16</v>
      </c>
      <c r="H401" s="145" t="str">
        <f>"15"</f>
        <v>15</v>
      </c>
      <c r="I401" s="145" t="str">
        <f>"0"</f>
        <v>0</v>
      </c>
      <c r="J401" s="144">
        <v>0</v>
      </c>
      <c r="K401" s="145">
        <f t="shared" si="6"/>
        <v>0</v>
      </c>
    </row>
    <row r="402" spans="1:11" ht="15" thickBot="1" x14ac:dyDescent="0.4">
      <c r="A402" s="158"/>
      <c r="B402" s="155" t="s">
        <v>492</v>
      </c>
      <c r="C402" s="157" t="s">
        <v>991</v>
      </c>
      <c r="D402" s="143" t="s">
        <v>493</v>
      </c>
      <c r="E402" s="143" t="s">
        <v>989</v>
      </c>
      <c r="F402" s="143" t="s">
        <v>896</v>
      </c>
      <c r="G402" s="143">
        <v>16</v>
      </c>
      <c r="H402" s="143" t="str">
        <f>"31"</f>
        <v>31</v>
      </c>
      <c r="I402" s="143" t="str">
        <f>"16"</f>
        <v>16</v>
      </c>
      <c r="J402" s="144">
        <v>0</v>
      </c>
      <c r="K402" s="143">
        <f t="shared" si="6"/>
        <v>0</v>
      </c>
    </row>
    <row r="403" spans="1:11" ht="15" thickBot="1" x14ac:dyDescent="0.4">
      <c r="A403" s="158"/>
      <c r="B403" s="155"/>
      <c r="C403" s="157"/>
      <c r="D403" s="143" t="s">
        <v>494</v>
      </c>
      <c r="E403" s="143" t="s">
        <v>990</v>
      </c>
      <c r="F403" s="143" t="s">
        <v>896</v>
      </c>
      <c r="G403" s="143">
        <v>16</v>
      </c>
      <c r="H403" s="143" t="str">
        <f>"15"</f>
        <v>15</v>
      </c>
      <c r="I403" s="143" t="str">
        <f>"0"</f>
        <v>0</v>
      </c>
      <c r="J403" s="144">
        <v>0</v>
      </c>
      <c r="K403" s="143">
        <f t="shared" si="6"/>
        <v>0</v>
      </c>
    </row>
    <row r="404" spans="1:11" ht="15" thickBot="1" x14ac:dyDescent="0.4">
      <c r="A404" s="158"/>
      <c r="B404" s="155" t="s">
        <v>495</v>
      </c>
      <c r="C404" s="156" t="s">
        <v>994</v>
      </c>
      <c r="D404" s="145" t="s">
        <v>496</v>
      </c>
      <c r="E404" s="145" t="s">
        <v>992</v>
      </c>
      <c r="F404" s="145" t="s">
        <v>896</v>
      </c>
      <c r="G404" s="145">
        <v>16</v>
      </c>
      <c r="H404" s="145" t="str">
        <f>"31"</f>
        <v>31</v>
      </c>
      <c r="I404" s="145" t="str">
        <f>"16"</f>
        <v>16</v>
      </c>
      <c r="J404" s="144">
        <v>0</v>
      </c>
      <c r="K404" s="145">
        <f t="shared" si="6"/>
        <v>0</v>
      </c>
    </row>
    <row r="405" spans="1:11" ht="15" thickBot="1" x14ac:dyDescent="0.4">
      <c r="A405" s="158"/>
      <c r="B405" s="155"/>
      <c r="C405" s="156"/>
      <c r="D405" s="145" t="s">
        <v>497</v>
      </c>
      <c r="E405" s="145" t="s">
        <v>993</v>
      </c>
      <c r="F405" s="145" t="s">
        <v>896</v>
      </c>
      <c r="G405" s="145">
        <v>16</v>
      </c>
      <c r="H405" s="145" t="str">
        <f>"15"</f>
        <v>15</v>
      </c>
      <c r="I405" s="145" t="str">
        <f>"0"</f>
        <v>0</v>
      </c>
      <c r="J405" s="144">
        <v>0</v>
      </c>
      <c r="K405" s="145">
        <f t="shared" si="6"/>
        <v>0</v>
      </c>
    </row>
    <row r="406" spans="1:11" ht="15" thickBot="1" x14ac:dyDescent="0.4">
      <c r="A406" s="158"/>
      <c r="B406" s="155" t="s">
        <v>498</v>
      </c>
      <c r="C406" s="157" t="s">
        <v>997</v>
      </c>
      <c r="D406" s="143" t="s">
        <v>499</v>
      </c>
      <c r="E406" s="143" t="s">
        <v>995</v>
      </c>
      <c r="F406" s="143" t="s">
        <v>896</v>
      </c>
      <c r="G406" s="143">
        <v>16</v>
      </c>
      <c r="H406" s="143" t="str">
        <f>"31"</f>
        <v>31</v>
      </c>
      <c r="I406" s="143" t="str">
        <f>"16"</f>
        <v>16</v>
      </c>
      <c r="J406" s="144">
        <v>0</v>
      </c>
      <c r="K406" s="143">
        <f t="shared" si="6"/>
        <v>0</v>
      </c>
    </row>
    <row r="407" spans="1:11" ht="15" thickBot="1" x14ac:dyDescent="0.4">
      <c r="A407" s="158"/>
      <c r="B407" s="155"/>
      <c r="C407" s="157"/>
      <c r="D407" s="143" t="s">
        <v>500</v>
      </c>
      <c r="E407" s="143" t="s">
        <v>996</v>
      </c>
      <c r="F407" s="143" t="s">
        <v>896</v>
      </c>
      <c r="G407" s="143">
        <v>16</v>
      </c>
      <c r="H407" s="143" t="str">
        <f>"15"</f>
        <v>15</v>
      </c>
      <c r="I407" s="143" t="str">
        <f>"0"</f>
        <v>0</v>
      </c>
      <c r="J407" s="144">
        <v>0</v>
      </c>
      <c r="K407" s="143">
        <f t="shared" si="6"/>
        <v>0</v>
      </c>
    </row>
    <row r="408" spans="1:11" ht="15" thickBot="1" x14ac:dyDescent="0.4">
      <c r="A408" s="158"/>
      <c r="B408" s="155" t="s">
        <v>501</v>
      </c>
      <c r="C408" s="156" t="s">
        <v>1000</v>
      </c>
      <c r="D408" s="145" t="s">
        <v>502</v>
      </c>
      <c r="E408" s="145" t="s">
        <v>998</v>
      </c>
      <c r="F408" s="145" t="s">
        <v>896</v>
      </c>
      <c r="G408" s="145">
        <v>1</v>
      </c>
      <c r="H408" s="145"/>
      <c r="I408" s="145" t="str">
        <f>"16"</f>
        <v>16</v>
      </c>
      <c r="J408" s="144">
        <v>0</v>
      </c>
      <c r="K408" s="145">
        <f t="shared" si="6"/>
        <v>0</v>
      </c>
    </row>
    <row r="409" spans="1:11" ht="15" thickBot="1" x14ac:dyDescent="0.4">
      <c r="A409" s="158"/>
      <c r="B409" s="155"/>
      <c r="C409" s="156"/>
      <c r="D409" s="145" t="s">
        <v>503</v>
      </c>
      <c r="E409" s="145" t="s">
        <v>999</v>
      </c>
      <c r="F409" s="145" t="s">
        <v>896</v>
      </c>
      <c r="G409" s="145">
        <v>16</v>
      </c>
      <c r="H409" s="145" t="str">
        <f>"15"</f>
        <v>15</v>
      </c>
      <c r="I409" s="145" t="str">
        <f>"0"</f>
        <v>0</v>
      </c>
      <c r="J409" s="144">
        <v>0</v>
      </c>
      <c r="K409" s="145">
        <f t="shared" si="6"/>
        <v>0</v>
      </c>
    </row>
    <row r="410" spans="1:11" ht="15" thickBot="1" x14ac:dyDescent="0.4">
      <c r="A410" s="158"/>
      <c r="B410" s="155" t="s">
        <v>504</v>
      </c>
      <c r="C410" s="157" t="s">
        <v>1003</v>
      </c>
      <c r="D410" s="143" t="s">
        <v>505</v>
      </c>
      <c r="E410" s="143" t="s">
        <v>1001</v>
      </c>
      <c r="F410" s="143" t="s">
        <v>896</v>
      </c>
      <c r="G410" s="143">
        <v>16</v>
      </c>
      <c r="H410" s="143" t="str">
        <f>"31"</f>
        <v>31</v>
      </c>
      <c r="I410" s="143" t="str">
        <f>"16"</f>
        <v>16</v>
      </c>
      <c r="J410" s="144">
        <v>0</v>
      </c>
      <c r="K410" s="143">
        <f t="shared" si="6"/>
        <v>0</v>
      </c>
    </row>
    <row r="411" spans="1:11" ht="15" thickBot="1" x14ac:dyDescent="0.4">
      <c r="A411" s="158"/>
      <c r="B411" s="155"/>
      <c r="C411" s="157"/>
      <c r="D411" s="143" t="s">
        <v>506</v>
      </c>
      <c r="E411" s="143" t="s">
        <v>1002</v>
      </c>
      <c r="F411" s="143" t="s">
        <v>896</v>
      </c>
      <c r="G411" s="143">
        <v>16</v>
      </c>
      <c r="H411" s="143" t="str">
        <f>"15"</f>
        <v>15</v>
      </c>
      <c r="I411" s="143" t="str">
        <f>"0"</f>
        <v>0</v>
      </c>
      <c r="J411" s="144">
        <v>0</v>
      </c>
      <c r="K411" s="143">
        <f t="shared" si="6"/>
        <v>0</v>
      </c>
    </row>
    <row r="412" spans="1:11" ht="44" thickBot="1" x14ac:dyDescent="0.4">
      <c r="A412" s="158"/>
      <c r="B412" s="151" t="s">
        <v>507</v>
      </c>
      <c r="C412" s="152" t="s">
        <v>1005</v>
      </c>
      <c r="D412" s="145" t="s">
        <v>508</v>
      </c>
      <c r="E412" s="147" t="s">
        <v>1004</v>
      </c>
      <c r="F412" s="145" t="s">
        <v>896</v>
      </c>
      <c r="G412" s="145">
        <v>16</v>
      </c>
      <c r="H412" s="145" t="str">
        <f>"31"</f>
        <v>31</v>
      </c>
      <c r="I412" s="145" t="str">
        <f>"16"</f>
        <v>16</v>
      </c>
      <c r="J412" s="144">
        <v>0</v>
      </c>
      <c r="K412" s="145">
        <f t="shared" si="6"/>
        <v>0</v>
      </c>
    </row>
    <row r="413" spans="1:11" ht="15" thickBot="1" x14ac:dyDescent="0.4">
      <c r="A413" s="158"/>
      <c r="B413" s="151" t="s">
        <v>509</v>
      </c>
      <c r="C413" s="150" t="s">
        <v>1007</v>
      </c>
      <c r="D413" s="143" t="s">
        <v>510</v>
      </c>
      <c r="E413" s="143" t="s">
        <v>1006</v>
      </c>
      <c r="F413" s="143" t="s">
        <v>896</v>
      </c>
      <c r="G413" s="143">
        <v>18</v>
      </c>
      <c r="H413" s="143" t="str">
        <f>"17"</f>
        <v>17</v>
      </c>
      <c r="I413" s="143" t="str">
        <f>"0"</f>
        <v>0</v>
      </c>
      <c r="J413" s="144">
        <v>0</v>
      </c>
      <c r="K413" s="143">
        <f t="shared" si="6"/>
        <v>0</v>
      </c>
    </row>
    <row r="414" spans="1:11" ht="15" thickBot="1" x14ac:dyDescent="0.4">
      <c r="A414" s="158"/>
      <c r="B414" s="155" t="s">
        <v>511</v>
      </c>
      <c r="C414" s="156" t="s">
        <v>1010</v>
      </c>
      <c r="D414" s="145" t="s">
        <v>512</v>
      </c>
      <c r="E414" s="145" t="s">
        <v>1008</v>
      </c>
      <c r="F414" s="145" t="s">
        <v>896</v>
      </c>
      <c r="G414" s="145">
        <v>16</v>
      </c>
      <c r="H414" s="145" t="str">
        <f>"31"</f>
        <v>31</v>
      </c>
      <c r="I414" s="145" t="str">
        <f>"16"</f>
        <v>16</v>
      </c>
      <c r="J414" s="144">
        <v>0</v>
      </c>
      <c r="K414" s="145">
        <f t="shared" si="6"/>
        <v>0</v>
      </c>
    </row>
    <row r="415" spans="1:11" ht="15" thickBot="1" x14ac:dyDescent="0.4">
      <c r="A415" s="158"/>
      <c r="B415" s="155"/>
      <c r="C415" s="156"/>
      <c r="D415" s="145" t="s">
        <v>513</v>
      </c>
      <c r="E415" s="145" t="s">
        <v>1009</v>
      </c>
      <c r="F415" s="145" t="s">
        <v>896</v>
      </c>
      <c r="G415" s="145">
        <v>16</v>
      </c>
      <c r="H415" s="145" t="str">
        <f>"15"</f>
        <v>15</v>
      </c>
      <c r="I415" s="145" t="str">
        <f>"0"</f>
        <v>0</v>
      </c>
      <c r="J415" s="144">
        <v>0</v>
      </c>
      <c r="K415" s="145">
        <f t="shared" si="6"/>
        <v>0</v>
      </c>
    </row>
    <row r="416" spans="1:11" ht="87.5" thickBot="1" x14ac:dyDescent="0.4">
      <c r="A416" s="158"/>
      <c r="B416" s="151" t="s">
        <v>514</v>
      </c>
      <c r="C416" s="150" t="s">
        <v>1012</v>
      </c>
      <c r="D416" s="143" t="s">
        <v>114</v>
      </c>
      <c r="E416" s="146" t="s">
        <v>1011</v>
      </c>
      <c r="F416" s="143" t="s">
        <v>896</v>
      </c>
      <c r="G416" s="143">
        <v>30</v>
      </c>
      <c r="H416" s="143" t="str">
        <f>"29"</f>
        <v>29</v>
      </c>
      <c r="I416" s="143" t="str">
        <f>"0"</f>
        <v>0</v>
      </c>
      <c r="J416" s="144">
        <v>0</v>
      </c>
      <c r="K416" s="143">
        <f t="shared" si="6"/>
        <v>0</v>
      </c>
    </row>
    <row r="417" spans="1:11" ht="15" thickBot="1" x14ac:dyDescent="0.4">
      <c r="A417" s="158"/>
      <c r="B417" s="155" t="s">
        <v>515</v>
      </c>
      <c r="C417" s="156" t="s">
        <v>1015</v>
      </c>
      <c r="D417" s="145" t="s">
        <v>516</v>
      </c>
      <c r="E417" s="145" t="s">
        <v>1013</v>
      </c>
      <c r="F417" s="145" t="s">
        <v>534</v>
      </c>
      <c r="G417" s="145">
        <v>29</v>
      </c>
      <c r="H417" s="145" t="str">
        <f>"31"</f>
        <v>31</v>
      </c>
      <c r="I417" s="145" t="str">
        <f>"3"</f>
        <v>3</v>
      </c>
      <c r="J417" s="144">
        <v>0</v>
      </c>
      <c r="K417" s="145">
        <f t="shared" si="6"/>
        <v>0</v>
      </c>
    </row>
    <row r="418" spans="1:11" ht="15" thickBot="1" x14ac:dyDescent="0.4">
      <c r="A418" s="158"/>
      <c r="B418" s="155"/>
      <c r="C418" s="156"/>
      <c r="D418" s="145" t="s">
        <v>517</v>
      </c>
      <c r="E418" s="145" t="s">
        <v>1014</v>
      </c>
      <c r="F418" s="145" t="s">
        <v>534</v>
      </c>
      <c r="G418" s="145">
        <v>3</v>
      </c>
      <c r="H418" s="145" t="str">
        <f>"2"</f>
        <v>2</v>
      </c>
      <c r="I418" s="145" t="str">
        <f>"0"</f>
        <v>0</v>
      </c>
      <c r="J418" s="144">
        <v>0</v>
      </c>
      <c r="K418" s="145">
        <f t="shared" si="6"/>
        <v>0</v>
      </c>
    </row>
    <row r="419" spans="1:11" ht="15" thickBot="1" x14ac:dyDescent="0.4">
      <c r="A419" s="158"/>
      <c r="B419" s="151" t="s">
        <v>518</v>
      </c>
      <c r="C419" s="150" t="s">
        <v>1017</v>
      </c>
      <c r="D419" s="143" t="s">
        <v>519</v>
      </c>
      <c r="E419" s="143" t="s">
        <v>1016</v>
      </c>
      <c r="F419" s="143" t="s">
        <v>896</v>
      </c>
      <c r="G419" s="143">
        <v>32</v>
      </c>
      <c r="H419" s="143" t="str">
        <f>"31"</f>
        <v>31</v>
      </c>
      <c r="I419" s="143" t="str">
        <f>"0"</f>
        <v>0</v>
      </c>
      <c r="J419" s="144">
        <v>0</v>
      </c>
      <c r="K419" s="143">
        <f t="shared" si="6"/>
        <v>0</v>
      </c>
    </row>
    <row r="420" spans="1:11" ht="15" thickBot="1" x14ac:dyDescent="0.4">
      <c r="A420" s="158"/>
      <c r="B420" s="151" t="s">
        <v>520</v>
      </c>
      <c r="C420" s="152" t="s">
        <v>1019</v>
      </c>
      <c r="D420" s="145" t="s">
        <v>521</v>
      </c>
      <c r="E420" s="145" t="s">
        <v>1018</v>
      </c>
      <c r="F420" s="145" t="s">
        <v>896</v>
      </c>
      <c r="G420" s="145">
        <v>32</v>
      </c>
      <c r="H420" s="145" t="str">
        <f>"31"</f>
        <v>31</v>
      </c>
      <c r="I420" s="145" t="str">
        <f>"0"</f>
        <v>0</v>
      </c>
      <c r="J420" s="144">
        <v>0</v>
      </c>
      <c r="K420" s="145">
        <f t="shared" si="6"/>
        <v>0</v>
      </c>
    </row>
    <row r="421" spans="1:11" ht="15" thickBot="1" x14ac:dyDescent="0.4">
      <c r="A421" s="158"/>
      <c r="B421" s="151" t="s">
        <v>522</v>
      </c>
      <c r="C421" s="150" t="s">
        <v>1021</v>
      </c>
      <c r="D421" s="143" t="s">
        <v>523</v>
      </c>
      <c r="E421" s="143" t="s">
        <v>1020</v>
      </c>
      <c r="F421" s="143" t="s">
        <v>896</v>
      </c>
      <c r="G421" s="143">
        <v>16</v>
      </c>
      <c r="H421" s="143" t="str">
        <f>"15"</f>
        <v>15</v>
      </c>
      <c r="I421" s="143" t="str">
        <f>"0"</f>
        <v>0</v>
      </c>
      <c r="J421" s="144">
        <v>0</v>
      </c>
      <c r="K421" s="143">
        <f t="shared" si="6"/>
        <v>0</v>
      </c>
    </row>
    <row r="422" spans="1:11" ht="15" thickBot="1" x14ac:dyDescent="0.4">
      <c r="A422" s="158"/>
      <c r="B422" s="155" t="s">
        <v>524</v>
      </c>
      <c r="C422" s="156" t="s">
        <v>1024</v>
      </c>
      <c r="D422" s="145" t="s">
        <v>525</v>
      </c>
      <c r="E422" s="145" t="s">
        <v>1022</v>
      </c>
      <c r="F422" s="145" t="s">
        <v>534</v>
      </c>
      <c r="G422" s="145">
        <v>1</v>
      </c>
      <c r="H422" s="145"/>
      <c r="I422" s="145" t="str">
        <f>"16"</f>
        <v>16</v>
      </c>
      <c r="J422" s="144">
        <v>0</v>
      </c>
      <c r="K422" s="145">
        <f t="shared" si="6"/>
        <v>0</v>
      </c>
    </row>
    <row r="423" spans="1:11" ht="44" thickBot="1" x14ac:dyDescent="0.4">
      <c r="A423" s="158"/>
      <c r="B423" s="155"/>
      <c r="C423" s="156"/>
      <c r="D423" s="145" t="s">
        <v>526</v>
      </c>
      <c r="E423" s="147" t="s">
        <v>1023</v>
      </c>
      <c r="F423" s="145" t="s">
        <v>534</v>
      </c>
      <c r="G423" s="145">
        <v>16</v>
      </c>
      <c r="H423" s="145" t="str">
        <f>"15"</f>
        <v>15</v>
      </c>
      <c r="I423" s="145" t="str">
        <f>"0"</f>
        <v>0</v>
      </c>
      <c r="J423" s="144">
        <v>0</v>
      </c>
      <c r="K423" s="145">
        <f t="shared" si="6"/>
        <v>0</v>
      </c>
    </row>
    <row r="424" spans="1:11" ht="44" thickBot="1" x14ac:dyDescent="0.4">
      <c r="A424" s="158"/>
      <c r="B424" s="155" t="s">
        <v>527</v>
      </c>
      <c r="C424" s="157" t="s">
        <v>1027</v>
      </c>
      <c r="D424" s="143" t="s">
        <v>49</v>
      </c>
      <c r="E424" s="146" t="s">
        <v>1025</v>
      </c>
      <c r="F424" s="143" t="s">
        <v>534</v>
      </c>
      <c r="G424" s="143">
        <v>1</v>
      </c>
      <c r="H424" s="143"/>
      <c r="I424" s="143" t="str">
        <f>"31"</f>
        <v>31</v>
      </c>
      <c r="J424" s="144">
        <v>0</v>
      </c>
      <c r="K424" s="143">
        <f t="shared" si="6"/>
        <v>0</v>
      </c>
    </row>
    <row r="425" spans="1:11" ht="15" thickBot="1" x14ac:dyDescent="0.4">
      <c r="A425" s="158"/>
      <c r="B425" s="155"/>
      <c r="C425" s="157"/>
      <c r="D425" s="143" t="s">
        <v>528</v>
      </c>
      <c r="E425" s="143" t="s">
        <v>1026</v>
      </c>
      <c r="F425" s="143" t="s">
        <v>534</v>
      </c>
      <c r="G425" s="143">
        <v>31</v>
      </c>
      <c r="H425" s="143" t="str">
        <f>"30"</f>
        <v>30</v>
      </c>
      <c r="I425" s="143" t="str">
        <f>"0"</f>
        <v>0</v>
      </c>
      <c r="J425" s="144">
        <v>0</v>
      </c>
      <c r="K425" s="143">
        <f t="shared" si="6"/>
        <v>0</v>
      </c>
    </row>
    <row r="426" spans="1:11" ht="73" thickBot="1" x14ac:dyDescent="0.4">
      <c r="A426" s="158"/>
      <c r="B426" s="151" t="s">
        <v>529</v>
      </c>
      <c r="C426" s="152" t="s">
        <v>1029</v>
      </c>
      <c r="D426" s="145" t="s">
        <v>530</v>
      </c>
      <c r="E426" s="147" t="s">
        <v>1028</v>
      </c>
      <c r="F426" s="145" t="s">
        <v>896</v>
      </c>
      <c r="G426" s="145">
        <v>8</v>
      </c>
      <c r="H426" s="145" t="str">
        <f>"7"</f>
        <v>7</v>
      </c>
      <c r="I426" s="145" t="str">
        <f>"0"</f>
        <v>0</v>
      </c>
      <c r="J426" s="144">
        <v>0</v>
      </c>
      <c r="K426" s="145">
        <f t="shared" si="6"/>
        <v>0</v>
      </c>
    </row>
    <row r="427" spans="1:11" ht="203.5" thickBot="1" x14ac:dyDescent="0.4">
      <c r="A427" s="158"/>
      <c r="B427" s="151" t="s">
        <v>531</v>
      </c>
      <c r="C427" s="150" t="s">
        <v>1031</v>
      </c>
      <c r="D427" s="143" t="s">
        <v>532</v>
      </c>
      <c r="E427" s="146" t="s">
        <v>1030</v>
      </c>
      <c r="F427" s="143" t="s">
        <v>896</v>
      </c>
      <c r="G427" s="143">
        <v>30</v>
      </c>
      <c r="H427" s="143" t="str">
        <f>"29"</f>
        <v>29</v>
      </c>
      <c r="I427" s="143" t="str">
        <f>"0"</f>
        <v>0</v>
      </c>
      <c r="J427" s="144">
        <v>0</v>
      </c>
      <c r="K427" s="143">
        <f t="shared" si="6"/>
        <v>0</v>
      </c>
    </row>
  </sheetData>
  <mergeCells count="169">
    <mergeCell ref="B3:B7"/>
    <mergeCell ref="C3:C7"/>
    <mergeCell ref="B8:B11"/>
    <mergeCell ref="C8:C11"/>
    <mergeCell ref="B12:B15"/>
    <mergeCell ref="C12:C15"/>
    <mergeCell ref="B31:B32"/>
    <mergeCell ref="C31:C32"/>
    <mergeCell ref="B33:B48"/>
    <mergeCell ref="C33:C48"/>
    <mergeCell ref="B49:B63"/>
    <mergeCell ref="C49:C63"/>
    <mergeCell ref="B16:B17"/>
    <mergeCell ref="C16:C17"/>
    <mergeCell ref="B18:B27"/>
    <mergeCell ref="C18:C27"/>
    <mergeCell ref="B28:B30"/>
    <mergeCell ref="C28:C30"/>
    <mergeCell ref="B78:B82"/>
    <mergeCell ref="C78:C82"/>
    <mergeCell ref="B83:B86"/>
    <mergeCell ref="C83:C86"/>
    <mergeCell ref="B87:B90"/>
    <mergeCell ref="C87:C90"/>
    <mergeCell ref="B64:B69"/>
    <mergeCell ref="C64:C69"/>
    <mergeCell ref="B70:B73"/>
    <mergeCell ref="C70:C73"/>
    <mergeCell ref="B74:B77"/>
    <mergeCell ref="C74:C77"/>
    <mergeCell ref="B125:B127"/>
    <mergeCell ref="C125:C127"/>
    <mergeCell ref="B128:B130"/>
    <mergeCell ref="C128:C130"/>
    <mergeCell ref="B91:B96"/>
    <mergeCell ref="C91:C96"/>
    <mergeCell ref="B97:B114"/>
    <mergeCell ref="C97:C114"/>
    <mergeCell ref="B115:B118"/>
    <mergeCell ref="C115:C118"/>
    <mergeCell ref="A3:A179"/>
    <mergeCell ref="B180:B187"/>
    <mergeCell ref="C180:C187"/>
    <mergeCell ref="A180:A305"/>
    <mergeCell ref="B149:B157"/>
    <mergeCell ref="C149:C157"/>
    <mergeCell ref="B158:B161"/>
    <mergeCell ref="C158:C161"/>
    <mergeCell ref="B162:B166"/>
    <mergeCell ref="C162:C166"/>
    <mergeCell ref="B140:B142"/>
    <mergeCell ref="C140:C142"/>
    <mergeCell ref="B143:B145"/>
    <mergeCell ref="C143:C145"/>
    <mergeCell ref="B146:B148"/>
    <mergeCell ref="C146:C148"/>
    <mergeCell ref="B131:B133"/>
    <mergeCell ref="C131:C133"/>
    <mergeCell ref="B134:B136"/>
    <mergeCell ref="C134:C136"/>
    <mergeCell ref="B137:B139"/>
    <mergeCell ref="C137:C139"/>
    <mergeCell ref="B119:B124"/>
    <mergeCell ref="C119:C124"/>
    <mergeCell ref="B190:B203"/>
    <mergeCell ref="C190:C203"/>
    <mergeCell ref="B204:B217"/>
    <mergeCell ref="C204:C217"/>
    <mergeCell ref="B218:B222"/>
    <mergeCell ref="C218:C222"/>
    <mergeCell ref="B167:B176"/>
    <mergeCell ref="C167:C176"/>
    <mergeCell ref="B177:B179"/>
    <mergeCell ref="C177:C179"/>
    <mergeCell ref="B232:B234"/>
    <mergeCell ref="C232:C234"/>
    <mergeCell ref="B235:B237"/>
    <mergeCell ref="C235:C237"/>
    <mergeCell ref="B238:B242"/>
    <mergeCell ref="C238:C242"/>
    <mergeCell ref="B223:B225"/>
    <mergeCell ref="C223:C225"/>
    <mergeCell ref="B226:B227"/>
    <mergeCell ref="C226:C227"/>
    <mergeCell ref="B228:B231"/>
    <mergeCell ref="C228:C231"/>
    <mergeCell ref="B266:B267"/>
    <mergeCell ref="C266:C267"/>
    <mergeCell ref="B268:B269"/>
    <mergeCell ref="C268:C269"/>
    <mergeCell ref="B270:B271"/>
    <mergeCell ref="C270:C271"/>
    <mergeCell ref="B243:B259"/>
    <mergeCell ref="C243:C259"/>
    <mergeCell ref="B260:B261"/>
    <mergeCell ref="C260:C261"/>
    <mergeCell ref="B262:B265"/>
    <mergeCell ref="C262:C265"/>
    <mergeCell ref="B278:B279"/>
    <mergeCell ref="C278:C279"/>
    <mergeCell ref="B280:B281"/>
    <mergeCell ref="C280:C281"/>
    <mergeCell ref="B282:B289"/>
    <mergeCell ref="C282:C289"/>
    <mergeCell ref="B272:B273"/>
    <mergeCell ref="C272:C273"/>
    <mergeCell ref="B274:B275"/>
    <mergeCell ref="C274:C275"/>
    <mergeCell ref="B276:B277"/>
    <mergeCell ref="C276:C277"/>
    <mergeCell ref="B306:B325"/>
    <mergeCell ref="C306:C325"/>
    <mergeCell ref="B326:B332"/>
    <mergeCell ref="C326:C332"/>
    <mergeCell ref="B334:B341"/>
    <mergeCell ref="C334:C341"/>
    <mergeCell ref="B290:B292"/>
    <mergeCell ref="C290:C292"/>
    <mergeCell ref="B293:B295"/>
    <mergeCell ref="C293:C295"/>
    <mergeCell ref="B296:B304"/>
    <mergeCell ref="C296:C304"/>
    <mergeCell ref="B367:B374"/>
    <mergeCell ref="C367:C374"/>
    <mergeCell ref="B375:B382"/>
    <mergeCell ref="C375:C382"/>
    <mergeCell ref="B383:B384"/>
    <mergeCell ref="C383:C384"/>
    <mergeCell ref="B342:B344"/>
    <mergeCell ref="C342:C344"/>
    <mergeCell ref="B345:B354"/>
    <mergeCell ref="C345:C354"/>
    <mergeCell ref="B355:B365"/>
    <mergeCell ref="C355:C365"/>
    <mergeCell ref="C392:C393"/>
    <mergeCell ref="B394:B395"/>
    <mergeCell ref="C394:C395"/>
    <mergeCell ref="B396:B397"/>
    <mergeCell ref="C396:C397"/>
    <mergeCell ref="B386:B387"/>
    <mergeCell ref="C386:C387"/>
    <mergeCell ref="B388:B389"/>
    <mergeCell ref="C388:C389"/>
    <mergeCell ref="B390:B391"/>
    <mergeCell ref="C390:C391"/>
    <mergeCell ref="B422:B423"/>
    <mergeCell ref="C422:C423"/>
    <mergeCell ref="B424:B425"/>
    <mergeCell ref="C424:C425"/>
    <mergeCell ref="A306:A427"/>
    <mergeCell ref="B410:B411"/>
    <mergeCell ref="C410:C411"/>
    <mergeCell ref="B414:B415"/>
    <mergeCell ref="C414:C415"/>
    <mergeCell ref="B417:B418"/>
    <mergeCell ref="C417:C418"/>
    <mergeCell ref="B404:B405"/>
    <mergeCell ref="C404:C405"/>
    <mergeCell ref="B406:B407"/>
    <mergeCell ref="C406:C407"/>
    <mergeCell ref="B408:B409"/>
    <mergeCell ref="C408:C409"/>
    <mergeCell ref="B398:B399"/>
    <mergeCell ref="C398:C399"/>
    <mergeCell ref="B400:B401"/>
    <mergeCell ref="C400:C401"/>
    <mergeCell ref="B402:B403"/>
    <mergeCell ref="C402:C403"/>
    <mergeCell ref="B392:B39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178BB-9233-40F3-8403-96398E4C0F28}">
  <sheetPr codeName="Sheet7"/>
  <dimension ref="A1:AU145"/>
  <sheetViews>
    <sheetView showGridLines="0" workbookViewId="0">
      <selection activeCell="B5" sqref="B5:B6"/>
    </sheetView>
  </sheetViews>
  <sheetFormatPr defaultRowHeight="14.5" x14ac:dyDescent="0.35"/>
  <cols>
    <col min="1" max="1" width="8.90625" style="9"/>
    <col min="2" max="2" width="7.08984375" bestFit="1" customWidth="1"/>
    <col min="3" max="3" width="8.453125" bestFit="1" customWidth="1"/>
    <col min="4" max="4" width="11.1796875" bestFit="1" customWidth="1"/>
    <col min="5" max="5" width="1.81640625" customWidth="1"/>
    <col min="6" max="37" width="7.36328125" customWidth="1"/>
    <col min="38" max="47" width="8.90625" style="9"/>
  </cols>
  <sheetData>
    <row r="1" spans="2:37" s="9" customFormat="1" x14ac:dyDescent="0.35">
      <c r="J1" s="184" t="s">
        <v>247</v>
      </c>
      <c r="K1" s="181"/>
      <c r="L1" s="181"/>
      <c r="M1" s="187" t="s">
        <v>248</v>
      </c>
      <c r="N1" s="181"/>
      <c r="O1" s="181"/>
      <c r="P1" s="180" t="s">
        <v>249</v>
      </c>
      <c r="Q1" s="181"/>
      <c r="R1" s="181"/>
    </row>
    <row r="2" spans="2:37" s="9" customFormat="1" x14ac:dyDescent="0.35">
      <c r="J2" s="185" t="s">
        <v>250</v>
      </c>
      <c r="K2" s="181"/>
      <c r="L2" s="181"/>
      <c r="M2" s="188" t="s">
        <v>251</v>
      </c>
      <c r="N2" s="181"/>
      <c r="O2" s="181"/>
      <c r="P2" s="182" t="s">
        <v>252</v>
      </c>
      <c r="Q2" s="181"/>
      <c r="R2" s="181"/>
    </row>
    <row r="3" spans="2:37" s="9" customFormat="1" x14ac:dyDescent="0.35">
      <c r="J3" s="186" t="s">
        <v>253</v>
      </c>
      <c r="K3" s="181"/>
      <c r="L3" s="181"/>
      <c r="M3" s="189" t="s">
        <v>254</v>
      </c>
      <c r="N3" s="181"/>
      <c r="O3" s="181"/>
      <c r="P3" s="183" t="s">
        <v>255</v>
      </c>
      <c r="Q3" s="181"/>
      <c r="R3" s="181"/>
    </row>
    <row r="4" spans="2:37" s="9" customFormat="1" ht="15" thickBot="1" x14ac:dyDescent="0.4"/>
    <row r="5" spans="2:37" ht="16.5" thickTop="1" thickBot="1" x14ac:dyDescent="0.4">
      <c r="B5" s="202" t="s">
        <v>243</v>
      </c>
      <c r="C5" s="202" t="s">
        <v>244</v>
      </c>
      <c r="D5" s="202" t="s">
        <v>245</v>
      </c>
      <c r="E5" s="202"/>
      <c r="F5" s="202" t="s">
        <v>246</v>
      </c>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row>
    <row r="6" spans="2:37" ht="16.5" thickTop="1" thickBot="1" x14ac:dyDescent="0.4">
      <c r="B6" s="202"/>
      <c r="C6" s="202"/>
      <c r="D6" s="202"/>
      <c r="E6" s="202"/>
      <c r="F6" s="36">
        <v>31</v>
      </c>
      <c r="G6" s="36">
        <v>30</v>
      </c>
      <c r="H6" s="36">
        <v>29</v>
      </c>
      <c r="I6" s="36">
        <v>28</v>
      </c>
      <c r="J6" s="36">
        <v>27</v>
      </c>
      <c r="K6" s="36">
        <v>26</v>
      </c>
      <c r="L6" s="36">
        <v>25</v>
      </c>
      <c r="M6" s="36">
        <v>24</v>
      </c>
      <c r="N6" s="36">
        <v>23</v>
      </c>
      <c r="O6" s="36">
        <v>22</v>
      </c>
      <c r="P6" s="36">
        <v>21</v>
      </c>
      <c r="Q6" s="36">
        <v>20</v>
      </c>
      <c r="R6" s="36">
        <v>19</v>
      </c>
      <c r="S6" s="36">
        <v>18</v>
      </c>
      <c r="T6" s="36">
        <v>17</v>
      </c>
      <c r="U6" s="36">
        <v>16</v>
      </c>
      <c r="V6" s="36">
        <v>15</v>
      </c>
      <c r="W6" s="36">
        <v>14</v>
      </c>
      <c r="X6" s="36">
        <v>13</v>
      </c>
      <c r="Y6" s="36">
        <v>12</v>
      </c>
      <c r="Z6" s="36">
        <v>11</v>
      </c>
      <c r="AA6" s="36">
        <v>10</v>
      </c>
      <c r="AB6" s="36">
        <v>9</v>
      </c>
      <c r="AC6" s="36">
        <v>8</v>
      </c>
      <c r="AD6" s="36">
        <v>7</v>
      </c>
      <c r="AE6" s="36">
        <v>6</v>
      </c>
      <c r="AF6" s="36">
        <v>5</v>
      </c>
      <c r="AG6" s="36">
        <v>4</v>
      </c>
      <c r="AH6" s="36">
        <v>3</v>
      </c>
      <c r="AI6" s="36">
        <v>2</v>
      </c>
      <c r="AJ6" s="36">
        <v>1</v>
      </c>
      <c r="AK6" s="36">
        <v>0</v>
      </c>
    </row>
    <row r="7" spans="2:37" ht="15" thickTop="1" x14ac:dyDescent="0.35">
      <c r="B7" s="199" t="s">
        <v>0</v>
      </c>
      <c r="C7" s="75" t="s">
        <v>115</v>
      </c>
      <c r="D7" s="75" t="s">
        <v>256</v>
      </c>
      <c r="E7" s="76"/>
      <c r="F7" s="212" t="s">
        <v>3</v>
      </c>
      <c r="G7" s="213"/>
      <c r="H7" s="213"/>
      <c r="I7" s="213"/>
      <c r="J7" s="213"/>
      <c r="K7" s="213"/>
      <c r="L7" s="214" t="s">
        <v>257</v>
      </c>
      <c r="M7" s="214"/>
      <c r="N7" s="214"/>
      <c r="O7" s="214"/>
      <c r="P7" s="214" t="s">
        <v>5</v>
      </c>
      <c r="Q7" s="214"/>
      <c r="R7" s="214"/>
      <c r="S7" s="214"/>
      <c r="T7" s="214"/>
      <c r="U7" s="214"/>
      <c r="V7" s="214"/>
      <c r="W7" s="214"/>
      <c r="X7" s="214" t="s">
        <v>4</v>
      </c>
      <c r="Y7" s="214"/>
      <c r="Z7" s="214"/>
      <c r="AA7" s="214"/>
      <c r="AB7" s="214"/>
      <c r="AC7" s="214"/>
      <c r="AD7" s="214"/>
      <c r="AE7" s="214"/>
      <c r="AF7" s="214" t="s">
        <v>258</v>
      </c>
      <c r="AG7" s="214"/>
      <c r="AH7" s="214"/>
      <c r="AI7" s="214"/>
      <c r="AJ7" s="214"/>
      <c r="AK7" s="215"/>
    </row>
    <row r="8" spans="2:37" x14ac:dyDescent="0.35">
      <c r="B8" s="200"/>
      <c r="C8" s="77" t="s">
        <v>116</v>
      </c>
      <c r="D8" s="77" t="s">
        <v>259</v>
      </c>
      <c r="E8" s="76"/>
      <c r="F8" s="210" t="s">
        <v>6</v>
      </c>
      <c r="G8" s="190"/>
      <c r="H8" s="190"/>
      <c r="I8" s="190"/>
      <c r="J8" s="190"/>
      <c r="K8" s="190"/>
      <c r="L8" s="191" t="s">
        <v>260</v>
      </c>
      <c r="M8" s="191"/>
      <c r="N8" s="191"/>
      <c r="O8" s="191"/>
      <c r="P8" s="191" t="s">
        <v>1</v>
      </c>
      <c r="Q8" s="191"/>
      <c r="R8" s="191"/>
      <c r="S8" s="191"/>
      <c r="T8" s="191"/>
      <c r="U8" s="191"/>
      <c r="V8" s="191"/>
      <c r="W8" s="191"/>
      <c r="X8" s="191"/>
      <c r="Y8" s="191"/>
      <c r="Z8" s="191"/>
      <c r="AA8" s="191"/>
      <c r="AB8" s="191"/>
      <c r="AC8" s="191"/>
      <c r="AD8" s="191"/>
      <c r="AE8" s="191"/>
      <c r="AF8" s="191" t="s">
        <v>2</v>
      </c>
      <c r="AG8" s="191"/>
      <c r="AH8" s="191"/>
      <c r="AI8" s="191"/>
      <c r="AJ8" s="191"/>
      <c r="AK8" s="192"/>
    </row>
    <row r="9" spans="2:37" x14ac:dyDescent="0.35">
      <c r="B9" s="200"/>
      <c r="C9" s="77" t="s">
        <v>117</v>
      </c>
      <c r="D9" s="77" t="s">
        <v>261</v>
      </c>
      <c r="E9" s="76"/>
      <c r="F9" s="210" t="s">
        <v>7</v>
      </c>
      <c r="G9" s="190"/>
      <c r="H9" s="190"/>
      <c r="I9" s="190"/>
      <c r="J9" s="190"/>
      <c r="K9" s="190"/>
      <c r="L9" s="191" t="s">
        <v>262</v>
      </c>
      <c r="M9" s="191"/>
      <c r="N9" s="191"/>
      <c r="O9" s="191"/>
      <c r="P9" s="191"/>
      <c r="Q9" s="191"/>
      <c r="R9" s="191"/>
      <c r="S9" s="191"/>
      <c r="T9" s="191"/>
      <c r="U9" s="191"/>
      <c r="V9" s="191"/>
      <c r="W9" s="191"/>
      <c r="X9" s="191"/>
      <c r="Y9" s="191"/>
      <c r="Z9" s="191"/>
      <c r="AA9" s="191"/>
      <c r="AB9" s="191" t="s">
        <v>263</v>
      </c>
      <c r="AC9" s="191"/>
      <c r="AD9" s="191"/>
      <c r="AE9" s="191" t="s">
        <v>264</v>
      </c>
      <c r="AF9" s="191"/>
      <c r="AG9" s="191"/>
      <c r="AH9" s="191"/>
      <c r="AI9" s="191"/>
      <c r="AJ9" s="191"/>
      <c r="AK9" s="192"/>
    </row>
    <row r="10" spans="2:37" x14ac:dyDescent="0.35">
      <c r="B10" s="200"/>
      <c r="C10" s="77" t="s">
        <v>118</v>
      </c>
      <c r="D10" s="77" t="s">
        <v>265</v>
      </c>
      <c r="E10" s="76"/>
      <c r="F10" s="210" t="s">
        <v>8</v>
      </c>
      <c r="G10" s="190"/>
      <c r="H10" s="190"/>
      <c r="I10" s="190"/>
      <c r="J10" s="190"/>
      <c r="K10" s="190"/>
      <c r="L10" s="191" t="s">
        <v>266</v>
      </c>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2"/>
    </row>
    <row r="11" spans="2:37" x14ac:dyDescent="0.35">
      <c r="B11" s="200"/>
      <c r="C11" s="77" t="s">
        <v>119</v>
      </c>
      <c r="D11" s="77" t="s">
        <v>267</v>
      </c>
      <c r="E11" s="76"/>
      <c r="F11" s="210" t="s">
        <v>9</v>
      </c>
      <c r="G11" s="190"/>
      <c r="H11" s="190"/>
      <c r="I11" s="190"/>
      <c r="J11" s="190"/>
      <c r="K11" s="190"/>
      <c r="L11" s="57"/>
      <c r="M11" s="57"/>
      <c r="N11" s="57"/>
      <c r="O11" s="57"/>
      <c r="P11" s="57"/>
      <c r="Q11" s="57"/>
      <c r="R11" s="57"/>
      <c r="S11" s="57"/>
      <c r="T11" s="47" t="s">
        <v>42</v>
      </c>
      <c r="U11" s="190" t="s">
        <v>268</v>
      </c>
      <c r="V11" s="190"/>
      <c r="W11" s="191" t="s">
        <v>269</v>
      </c>
      <c r="X11" s="191"/>
      <c r="Y11" s="191" t="s">
        <v>270</v>
      </c>
      <c r="Z11" s="191"/>
      <c r="AA11" s="191" t="s">
        <v>271</v>
      </c>
      <c r="AB11" s="191"/>
      <c r="AC11" s="47" t="s">
        <v>272</v>
      </c>
      <c r="AD11" s="190" t="s">
        <v>273</v>
      </c>
      <c r="AE11" s="190"/>
      <c r="AF11" s="190"/>
      <c r="AG11" s="190"/>
      <c r="AH11" s="191" t="s">
        <v>44</v>
      </c>
      <c r="AI11" s="191"/>
      <c r="AJ11" s="191"/>
      <c r="AK11" s="192"/>
    </row>
    <row r="12" spans="2:37" x14ac:dyDescent="0.35">
      <c r="B12" s="200"/>
      <c r="C12" s="77" t="s">
        <v>120</v>
      </c>
      <c r="D12" s="77" t="s">
        <v>274</v>
      </c>
      <c r="E12" s="76"/>
      <c r="F12" s="210" t="s">
        <v>10</v>
      </c>
      <c r="G12" s="190"/>
      <c r="H12" s="190"/>
      <c r="I12" s="190"/>
      <c r="J12" s="190"/>
      <c r="K12" s="190"/>
      <c r="L12" s="57"/>
      <c r="M12" s="57"/>
      <c r="N12" s="57"/>
      <c r="O12" s="57"/>
      <c r="P12" s="57"/>
      <c r="Q12" s="57"/>
      <c r="R12" s="57"/>
      <c r="S12" s="57"/>
      <c r="T12" s="57"/>
      <c r="U12" s="190" t="s">
        <v>275</v>
      </c>
      <c r="V12" s="190"/>
      <c r="W12" s="190"/>
      <c r="X12" s="190"/>
      <c r="Y12" s="190"/>
      <c r="Z12" s="190"/>
      <c r="AA12" s="190"/>
      <c r="AB12" s="190"/>
      <c r="AC12" s="190"/>
      <c r="AD12" s="190"/>
      <c r="AE12" s="190"/>
      <c r="AF12" s="190"/>
      <c r="AG12" s="190"/>
      <c r="AH12" s="190"/>
      <c r="AI12" s="190"/>
      <c r="AJ12" s="190"/>
      <c r="AK12" s="211"/>
    </row>
    <row r="13" spans="2:37" x14ac:dyDescent="0.35">
      <c r="B13" s="200"/>
      <c r="C13" s="77" t="s">
        <v>121</v>
      </c>
      <c r="D13" s="77" t="s">
        <v>276</v>
      </c>
      <c r="E13" s="76"/>
      <c r="F13" s="210" t="s">
        <v>11</v>
      </c>
      <c r="G13" s="190"/>
      <c r="H13" s="190"/>
      <c r="I13" s="190"/>
      <c r="J13" s="190"/>
      <c r="K13" s="190"/>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132"/>
    </row>
    <row r="14" spans="2:37" x14ac:dyDescent="0.35">
      <c r="B14" s="200"/>
      <c r="C14" s="77" t="s">
        <v>122</v>
      </c>
      <c r="D14" s="77" t="s">
        <v>277</v>
      </c>
      <c r="E14" s="76"/>
      <c r="F14" s="210" t="s">
        <v>12</v>
      </c>
      <c r="G14" s="190"/>
      <c r="H14" s="190"/>
      <c r="I14" s="190"/>
      <c r="J14" s="190"/>
      <c r="K14" s="190"/>
      <c r="L14" s="57"/>
      <c r="M14" s="190" t="s">
        <v>278</v>
      </c>
      <c r="N14" s="190"/>
      <c r="O14" s="191" t="s">
        <v>279</v>
      </c>
      <c r="P14" s="191"/>
      <c r="Q14" s="191"/>
      <c r="R14" s="191"/>
      <c r="S14" s="47" t="s">
        <v>280</v>
      </c>
      <c r="T14" s="47" t="s">
        <v>281</v>
      </c>
      <c r="U14" s="47" t="s">
        <v>282</v>
      </c>
      <c r="V14" s="190" t="s">
        <v>283</v>
      </c>
      <c r="W14" s="190"/>
      <c r="X14" s="190"/>
      <c r="Y14" s="47" t="s">
        <v>284</v>
      </c>
      <c r="Z14" s="47" t="s">
        <v>285</v>
      </c>
      <c r="AA14" s="190" t="s">
        <v>286</v>
      </c>
      <c r="AB14" s="190"/>
      <c r="AC14" s="190"/>
      <c r="AD14" s="190"/>
      <c r="AE14" s="47" t="s">
        <v>287</v>
      </c>
      <c r="AF14" s="47" t="s">
        <v>288</v>
      </c>
      <c r="AG14" s="47" t="s">
        <v>289</v>
      </c>
      <c r="AH14" s="190" t="s">
        <v>290</v>
      </c>
      <c r="AI14" s="190"/>
      <c r="AJ14" s="191" t="s">
        <v>291</v>
      </c>
      <c r="AK14" s="192"/>
    </row>
    <row r="15" spans="2:37" x14ac:dyDescent="0.35">
      <c r="B15" s="200"/>
      <c r="C15" s="77" t="s">
        <v>123</v>
      </c>
      <c r="D15" s="77" t="s">
        <v>292</v>
      </c>
      <c r="E15" s="76"/>
      <c r="F15" s="210" t="s">
        <v>15</v>
      </c>
      <c r="G15" s="190"/>
      <c r="H15" s="190"/>
      <c r="I15" s="190"/>
      <c r="J15" s="190"/>
      <c r="K15" s="190"/>
      <c r="L15" s="47" t="s">
        <v>293</v>
      </c>
      <c r="M15" s="47" t="s">
        <v>294</v>
      </c>
      <c r="N15" s="47" t="s">
        <v>295</v>
      </c>
      <c r="O15" s="47" t="s">
        <v>296</v>
      </c>
      <c r="P15" s="47" t="s">
        <v>297</v>
      </c>
      <c r="Q15" s="47" t="s">
        <v>298</v>
      </c>
      <c r="R15" s="47" t="s">
        <v>299</v>
      </c>
      <c r="S15" s="190" t="s">
        <v>300</v>
      </c>
      <c r="T15" s="190"/>
      <c r="U15" s="190"/>
      <c r="V15" s="190"/>
      <c r="W15" s="190"/>
      <c r="X15" s="47" t="s">
        <v>301</v>
      </c>
      <c r="Y15" s="190" t="s">
        <v>302</v>
      </c>
      <c r="Z15" s="190"/>
      <c r="AA15" s="190"/>
      <c r="AB15" s="190"/>
      <c r="AC15" s="190"/>
      <c r="AD15" s="190"/>
      <c r="AE15" s="190"/>
      <c r="AF15" s="190"/>
      <c r="AG15" s="47" t="s">
        <v>303</v>
      </c>
      <c r="AH15" s="190" t="s">
        <v>304</v>
      </c>
      <c r="AI15" s="190"/>
      <c r="AJ15" s="47" t="s">
        <v>305</v>
      </c>
      <c r="AK15" s="48" t="s">
        <v>306</v>
      </c>
    </row>
    <row r="16" spans="2:37" x14ac:dyDescent="0.35">
      <c r="B16" s="200"/>
      <c r="C16" s="77" t="s">
        <v>124</v>
      </c>
      <c r="D16" s="77" t="s">
        <v>307</v>
      </c>
      <c r="E16" s="76"/>
      <c r="F16" s="210" t="s">
        <v>20</v>
      </c>
      <c r="G16" s="190"/>
      <c r="H16" s="190"/>
      <c r="I16" s="190"/>
      <c r="J16" s="190"/>
      <c r="K16" s="190"/>
      <c r="L16" s="57"/>
      <c r="M16" s="57"/>
      <c r="N16" s="57"/>
      <c r="O16" s="57"/>
      <c r="P16" s="47" t="s">
        <v>19</v>
      </c>
      <c r="Q16" s="47" t="s">
        <v>308</v>
      </c>
      <c r="R16" s="190" t="s">
        <v>309</v>
      </c>
      <c r="S16" s="190"/>
      <c r="T16" s="190"/>
      <c r="U16" s="190"/>
      <c r="V16" s="190"/>
      <c r="W16" s="190"/>
      <c r="X16" s="190"/>
      <c r="Y16" s="190"/>
      <c r="Z16" s="190"/>
      <c r="AA16" s="190"/>
      <c r="AB16" s="191" t="s">
        <v>310</v>
      </c>
      <c r="AC16" s="191"/>
      <c r="AD16" s="191"/>
      <c r="AE16" s="191"/>
      <c r="AF16" s="191"/>
      <c r="AG16" s="191"/>
      <c r="AH16" s="191"/>
      <c r="AI16" s="191"/>
      <c r="AJ16" s="191"/>
      <c r="AK16" s="192"/>
    </row>
    <row r="17" spans="2:37" x14ac:dyDescent="0.35">
      <c r="B17" s="200"/>
      <c r="C17" s="77" t="s">
        <v>125</v>
      </c>
      <c r="D17" s="77" t="s">
        <v>311</v>
      </c>
      <c r="E17" s="76"/>
      <c r="F17" s="210" t="s">
        <v>21</v>
      </c>
      <c r="G17" s="190"/>
      <c r="H17" s="190"/>
      <c r="I17" s="190"/>
      <c r="J17" s="190"/>
      <c r="K17" s="190"/>
      <c r="L17" s="191" t="s">
        <v>312</v>
      </c>
      <c r="M17" s="191"/>
      <c r="N17" s="191"/>
      <c r="O17" s="191"/>
      <c r="P17" s="191"/>
      <c r="Q17" s="191"/>
      <c r="R17" s="191" t="s">
        <v>313</v>
      </c>
      <c r="S17" s="191"/>
      <c r="T17" s="191"/>
      <c r="U17" s="191"/>
      <c r="V17" s="191"/>
      <c r="W17" s="191"/>
      <c r="X17" s="191"/>
      <c r="Y17" s="191"/>
      <c r="Z17" s="191"/>
      <c r="AA17" s="191"/>
      <c r="AB17" s="191" t="s">
        <v>314</v>
      </c>
      <c r="AC17" s="191"/>
      <c r="AD17" s="191"/>
      <c r="AE17" s="191"/>
      <c r="AF17" s="191"/>
      <c r="AG17" s="191"/>
      <c r="AH17" s="191"/>
      <c r="AI17" s="191"/>
      <c r="AJ17" s="191"/>
      <c r="AK17" s="192"/>
    </row>
    <row r="18" spans="2:37" x14ac:dyDescent="0.35">
      <c r="B18" s="200"/>
      <c r="C18" s="77" t="s">
        <v>126</v>
      </c>
      <c r="D18" s="77" t="s">
        <v>315</v>
      </c>
      <c r="E18" s="76"/>
      <c r="F18" s="210" t="s">
        <v>22</v>
      </c>
      <c r="G18" s="190"/>
      <c r="H18" s="190"/>
      <c r="I18" s="190"/>
      <c r="J18" s="190"/>
      <c r="K18" s="190"/>
      <c r="L18" s="57"/>
      <c r="M18" s="57"/>
      <c r="N18" s="57"/>
      <c r="O18" s="57"/>
      <c r="P18" s="57"/>
      <c r="Q18" s="57"/>
      <c r="R18" s="57"/>
      <c r="S18" s="57"/>
      <c r="T18" s="190" t="s">
        <v>316</v>
      </c>
      <c r="U18" s="190"/>
      <c r="V18" s="190"/>
      <c r="W18" s="190"/>
      <c r="X18" s="190"/>
      <c r="Y18" s="190"/>
      <c r="Z18" s="190"/>
      <c r="AA18" s="190"/>
      <c r="AB18" s="190"/>
      <c r="AC18" s="191" t="s">
        <v>317</v>
      </c>
      <c r="AD18" s="191"/>
      <c r="AE18" s="191"/>
      <c r="AF18" s="191"/>
      <c r="AG18" s="191"/>
      <c r="AH18" s="191"/>
      <c r="AI18" s="191"/>
      <c r="AJ18" s="191"/>
      <c r="AK18" s="192"/>
    </row>
    <row r="19" spans="2:37" x14ac:dyDescent="0.35">
      <c r="B19" s="200"/>
      <c r="C19" s="77" t="s">
        <v>127</v>
      </c>
      <c r="D19" s="77" t="s">
        <v>318</v>
      </c>
      <c r="E19" s="76"/>
      <c r="F19" s="210" t="s">
        <v>23</v>
      </c>
      <c r="G19" s="190"/>
      <c r="H19" s="190"/>
      <c r="I19" s="190"/>
      <c r="J19" s="190"/>
      <c r="K19" s="190"/>
      <c r="L19" s="57"/>
      <c r="M19" s="190" t="s">
        <v>319</v>
      </c>
      <c r="N19" s="190"/>
      <c r="O19" s="190"/>
      <c r="P19" s="190"/>
      <c r="Q19" s="190"/>
      <c r="R19" s="190"/>
      <c r="S19" s="190"/>
      <c r="T19" s="191" t="s">
        <v>320</v>
      </c>
      <c r="U19" s="191"/>
      <c r="V19" s="191"/>
      <c r="W19" s="191"/>
      <c r="X19" s="191"/>
      <c r="Y19" s="191"/>
      <c r="Z19" s="191"/>
      <c r="AA19" s="191"/>
      <c r="AB19" s="191"/>
      <c r="AC19" s="191" t="s">
        <v>321</v>
      </c>
      <c r="AD19" s="191"/>
      <c r="AE19" s="191"/>
      <c r="AF19" s="191"/>
      <c r="AG19" s="191"/>
      <c r="AH19" s="191"/>
      <c r="AI19" s="191"/>
      <c r="AJ19" s="191"/>
      <c r="AK19" s="192"/>
    </row>
    <row r="20" spans="2:37" x14ac:dyDescent="0.35">
      <c r="B20" s="200"/>
      <c r="C20" s="77" t="s">
        <v>128</v>
      </c>
      <c r="D20" s="77" t="s">
        <v>322</v>
      </c>
      <c r="E20" s="76"/>
      <c r="F20" s="210" t="s">
        <v>24</v>
      </c>
      <c r="G20" s="190"/>
      <c r="H20" s="190"/>
      <c r="I20" s="190"/>
      <c r="J20" s="190"/>
      <c r="K20" s="190"/>
      <c r="L20" s="191" t="s">
        <v>323</v>
      </c>
      <c r="M20" s="191"/>
      <c r="N20" s="191"/>
      <c r="O20" s="191"/>
      <c r="P20" s="191"/>
      <c r="Q20" s="191"/>
      <c r="R20" s="191"/>
      <c r="S20" s="191"/>
      <c r="T20" s="191"/>
      <c r="U20" s="191"/>
      <c r="V20" s="191" t="s">
        <v>324</v>
      </c>
      <c r="W20" s="191"/>
      <c r="X20" s="191"/>
      <c r="Y20" s="191"/>
      <c r="Z20" s="191"/>
      <c r="AA20" s="191"/>
      <c r="AB20" s="191"/>
      <c r="AC20" s="191"/>
      <c r="AD20" s="191"/>
      <c r="AE20" s="191"/>
      <c r="AF20" s="191" t="s">
        <v>325</v>
      </c>
      <c r="AG20" s="191"/>
      <c r="AH20" s="191"/>
      <c r="AI20" s="191"/>
      <c r="AJ20" s="191"/>
      <c r="AK20" s="192"/>
    </row>
    <row r="21" spans="2:37" x14ac:dyDescent="0.35">
      <c r="B21" s="200"/>
      <c r="C21" s="77" t="s">
        <v>129</v>
      </c>
      <c r="D21" s="77" t="s">
        <v>326</v>
      </c>
      <c r="E21" s="76"/>
      <c r="F21" s="210" t="s">
        <v>25</v>
      </c>
      <c r="G21" s="190"/>
      <c r="H21" s="190"/>
      <c r="I21" s="190"/>
      <c r="J21" s="190"/>
      <c r="K21" s="190"/>
      <c r="L21" s="47" t="s">
        <v>327</v>
      </c>
      <c r="M21" s="190" t="s">
        <v>328</v>
      </c>
      <c r="N21" s="190"/>
      <c r="O21" s="190"/>
      <c r="P21" s="190"/>
      <c r="Q21" s="190"/>
      <c r="R21" s="190"/>
      <c r="S21" s="190"/>
      <c r="T21" s="190"/>
      <c r="U21" s="190"/>
      <c r="V21" s="190"/>
      <c r="W21" s="190"/>
      <c r="X21" s="191" t="s">
        <v>329</v>
      </c>
      <c r="Y21" s="191"/>
      <c r="Z21" s="191"/>
      <c r="AA21" s="191"/>
      <c r="AB21" s="191"/>
      <c r="AC21" s="191"/>
      <c r="AD21" s="191"/>
      <c r="AE21" s="191"/>
      <c r="AF21" s="191"/>
      <c r="AG21" s="191"/>
      <c r="AH21" s="191"/>
      <c r="AI21" s="191"/>
      <c r="AJ21" s="191"/>
      <c r="AK21" s="192"/>
    </row>
    <row r="22" spans="2:37" x14ac:dyDescent="0.35">
      <c r="B22" s="200"/>
      <c r="C22" s="77" t="s">
        <v>130</v>
      </c>
      <c r="D22" s="77" t="s">
        <v>330</v>
      </c>
      <c r="E22" s="76"/>
      <c r="F22" s="210" t="s">
        <v>26</v>
      </c>
      <c r="G22" s="190"/>
      <c r="H22" s="190"/>
      <c r="I22" s="190"/>
      <c r="J22" s="190"/>
      <c r="K22" s="190"/>
      <c r="L22" s="57"/>
      <c r="M22" s="57"/>
      <c r="N22" s="190" t="s">
        <v>331</v>
      </c>
      <c r="O22" s="190"/>
      <c r="P22" s="190"/>
      <c r="Q22" s="190"/>
      <c r="R22" s="190"/>
      <c r="S22" s="190"/>
      <c r="T22" s="191" t="s">
        <v>332</v>
      </c>
      <c r="U22" s="191"/>
      <c r="V22" s="191"/>
      <c r="W22" s="191"/>
      <c r="X22" s="191"/>
      <c r="Y22" s="191"/>
      <c r="Z22" s="191" t="s">
        <v>333</v>
      </c>
      <c r="AA22" s="191"/>
      <c r="AB22" s="191"/>
      <c r="AC22" s="191"/>
      <c r="AD22" s="191"/>
      <c r="AE22" s="191"/>
      <c r="AF22" s="191" t="s">
        <v>334</v>
      </c>
      <c r="AG22" s="191"/>
      <c r="AH22" s="191"/>
      <c r="AI22" s="191"/>
      <c r="AJ22" s="191"/>
      <c r="AK22" s="192"/>
    </row>
    <row r="23" spans="2:37" x14ac:dyDescent="0.35">
      <c r="B23" s="200"/>
      <c r="C23" s="78" t="s">
        <v>131</v>
      </c>
      <c r="D23" s="78" t="s">
        <v>335</v>
      </c>
      <c r="E23" s="79"/>
      <c r="F23" s="209" t="s">
        <v>27</v>
      </c>
      <c r="G23" s="195"/>
      <c r="H23" s="195"/>
      <c r="I23" s="195"/>
      <c r="J23" s="195"/>
      <c r="K23" s="195"/>
      <c r="L23" s="58"/>
      <c r="M23" s="58"/>
      <c r="N23" s="195" t="s">
        <v>336</v>
      </c>
      <c r="O23" s="195"/>
      <c r="P23" s="197" t="s">
        <v>337</v>
      </c>
      <c r="Q23" s="197"/>
      <c r="R23" s="197"/>
      <c r="S23" s="197" t="s">
        <v>338</v>
      </c>
      <c r="T23" s="197"/>
      <c r="U23" s="49" t="s">
        <v>339</v>
      </c>
      <c r="V23" s="49" t="s">
        <v>340</v>
      </c>
      <c r="W23" s="49" t="s">
        <v>341</v>
      </c>
      <c r="X23" s="49" t="s">
        <v>342</v>
      </c>
      <c r="Y23" s="49" t="s">
        <v>343</v>
      </c>
      <c r="Z23" s="49" t="s">
        <v>344</v>
      </c>
      <c r="AA23" s="49" t="s">
        <v>345</v>
      </c>
      <c r="AB23" s="195" t="s">
        <v>346</v>
      </c>
      <c r="AC23" s="195"/>
      <c r="AD23" s="197" t="s">
        <v>347</v>
      </c>
      <c r="AE23" s="197"/>
      <c r="AF23" s="49" t="s">
        <v>348</v>
      </c>
      <c r="AG23" s="49" t="s">
        <v>349</v>
      </c>
      <c r="AH23" s="49" t="s">
        <v>350</v>
      </c>
      <c r="AI23" s="195" t="s">
        <v>351</v>
      </c>
      <c r="AJ23" s="195"/>
      <c r="AK23" s="196"/>
    </row>
    <row r="24" spans="2:37" x14ac:dyDescent="0.35">
      <c r="B24" s="200"/>
      <c r="C24" s="78" t="s">
        <v>132</v>
      </c>
      <c r="D24" s="78" t="s">
        <v>352</v>
      </c>
      <c r="E24" s="79"/>
      <c r="F24" s="209" t="s">
        <v>28</v>
      </c>
      <c r="G24" s="195"/>
      <c r="H24" s="195"/>
      <c r="I24" s="195"/>
      <c r="J24" s="195"/>
      <c r="K24" s="195"/>
      <c r="L24" s="58"/>
      <c r="M24" s="58"/>
      <c r="N24" s="58"/>
      <c r="O24" s="58"/>
      <c r="P24" s="58"/>
      <c r="Q24" s="58"/>
      <c r="R24" s="58"/>
      <c r="S24" s="58"/>
      <c r="T24" s="58"/>
      <c r="U24" s="58"/>
      <c r="V24" s="58"/>
      <c r="W24" s="58"/>
      <c r="X24" s="58"/>
      <c r="Y24" s="58"/>
      <c r="Z24" s="58"/>
      <c r="AA24" s="58"/>
      <c r="AB24" s="58"/>
      <c r="AC24" s="195" t="s">
        <v>353</v>
      </c>
      <c r="AD24" s="195"/>
      <c r="AE24" s="197" t="s">
        <v>354</v>
      </c>
      <c r="AF24" s="197"/>
      <c r="AG24" s="197"/>
      <c r="AH24" s="197"/>
      <c r="AI24" s="197"/>
      <c r="AJ24" s="197"/>
      <c r="AK24" s="198"/>
    </row>
    <row r="25" spans="2:37" x14ac:dyDescent="0.35">
      <c r="B25" s="200"/>
      <c r="C25" s="78" t="s">
        <v>133</v>
      </c>
      <c r="D25" s="78" t="s">
        <v>355</v>
      </c>
      <c r="E25" s="79"/>
      <c r="F25" s="209" t="s">
        <v>29</v>
      </c>
      <c r="G25" s="195"/>
      <c r="H25" s="195"/>
      <c r="I25" s="195"/>
      <c r="J25" s="195"/>
      <c r="K25" s="195"/>
      <c r="L25" s="58"/>
      <c r="M25" s="58"/>
      <c r="N25" s="58"/>
      <c r="O25" s="58"/>
      <c r="P25" s="58"/>
      <c r="Q25" s="58"/>
      <c r="R25" s="58"/>
      <c r="S25" s="58"/>
      <c r="T25" s="58"/>
      <c r="U25" s="58"/>
      <c r="V25" s="58"/>
      <c r="W25" s="58"/>
      <c r="X25" s="58"/>
      <c r="Y25" s="58"/>
      <c r="Z25" s="58"/>
      <c r="AA25" s="58"/>
      <c r="AB25" s="58"/>
      <c r="AC25" s="195" t="s">
        <v>17</v>
      </c>
      <c r="AD25" s="195"/>
      <c r="AE25" s="195"/>
      <c r="AF25" s="49" t="s">
        <v>356</v>
      </c>
      <c r="AG25" s="49" t="s">
        <v>357</v>
      </c>
      <c r="AH25" s="195" t="s">
        <v>358</v>
      </c>
      <c r="AI25" s="195"/>
      <c r="AJ25" s="195"/>
      <c r="AK25" s="196"/>
    </row>
    <row r="26" spans="2:37" x14ac:dyDescent="0.35">
      <c r="B26" s="200"/>
      <c r="C26" s="78" t="s">
        <v>134</v>
      </c>
      <c r="D26" s="78" t="s">
        <v>359</v>
      </c>
      <c r="E26" s="79"/>
      <c r="F26" s="209" t="s">
        <v>30</v>
      </c>
      <c r="G26" s="195"/>
      <c r="H26" s="195"/>
      <c r="I26" s="195"/>
      <c r="J26" s="195"/>
      <c r="K26" s="195"/>
      <c r="L26" s="197" t="s">
        <v>360</v>
      </c>
      <c r="M26" s="197"/>
      <c r="N26" s="197"/>
      <c r="O26" s="197"/>
      <c r="P26" s="197"/>
      <c r="Q26" s="197"/>
      <c r="R26" s="197"/>
      <c r="S26" s="197"/>
      <c r="T26" s="197"/>
      <c r="U26" s="197"/>
      <c r="V26" s="197"/>
      <c r="W26" s="197"/>
      <c r="X26" s="197"/>
      <c r="Y26" s="197" t="s">
        <v>361</v>
      </c>
      <c r="Z26" s="197"/>
      <c r="AA26" s="197"/>
      <c r="AB26" s="197"/>
      <c r="AC26" s="197"/>
      <c r="AD26" s="197"/>
      <c r="AE26" s="197"/>
      <c r="AF26" s="197"/>
      <c r="AG26" s="197"/>
      <c r="AH26" s="197"/>
      <c r="AI26" s="197"/>
      <c r="AJ26" s="197"/>
      <c r="AK26" s="198"/>
    </row>
    <row r="27" spans="2:37" x14ac:dyDescent="0.35">
      <c r="B27" s="200"/>
      <c r="C27" s="78" t="s">
        <v>135</v>
      </c>
      <c r="D27" s="78" t="s">
        <v>362</v>
      </c>
      <c r="E27" s="79"/>
      <c r="F27" s="209" t="s">
        <v>31</v>
      </c>
      <c r="G27" s="195"/>
      <c r="H27" s="195"/>
      <c r="I27" s="195"/>
      <c r="J27" s="195"/>
      <c r="K27" s="195"/>
      <c r="L27" s="197" t="s">
        <v>363</v>
      </c>
      <c r="M27" s="197"/>
      <c r="N27" s="197"/>
      <c r="O27" s="197"/>
      <c r="P27" s="197"/>
      <c r="Q27" s="197"/>
      <c r="R27" s="197"/>
      <c r="S27" s="197"/>
      <c r="T27" s="197"/>
      <c r="U27" s="197"/>
      <c r="V27" s="197"/>
      <c r="W27" s="197"/>
      <c r="X27" s="197"/>
      <c r="Y27" s="197" t="s">
        <v>364</v>
      </c>
      <c r="Z27" s="197"/>
      <c r="AA27" s="197"/>
      <c r="AB27" s="197"/>
      <c r="AC27" s="197"/>
      <c r="AD27" s="197"/>
      <c r="AE27" s="197"/>
      <c r="AF27" s="197"/>
      <c r="AG27" s="197"/>
      <c r="AH27" s="197"/>
      <c r="AI27" s="197"/>
      <c r="AJ27" s="197"/>
      <c r="AK27" s="198"/>
    </row>
    <row r="28" spans="2:37" x14ac:dyDescent="0.35">
      <c r="B28" s="200"/>
      <c r="C28" s="78" t="s">
        <v>136</v>
      </c>
      <c r="D28" s="78" t="s">
        <v>365</v>
      </c>
      <c r="E28" s="79"/>
      <c r="F28" s="209" t="s">
        <v>33</v>
      </c>
      <c r="G28" s="195"/>
      <c r="H28" s="195"/>
      <c r="I28" s="195"/>
      <c r="J28" s="195"/>
      <c r="K28" s="195"/>
      <c r="L28" s="197" t="s">
        <v>366</v>
      </c>
      <c r="M28" s="197"/>
      <c r="N28" s="197"/>
      <c r="O28" s="197"/>
      <c r="P28" s="197"/>
      <c r="Q28" s="197"/>
      <c r="R28" s="197"/>
      <c r="S28" s="197"/>
      <c r="T28" s="197"/>
      <c r="U28" s="197"/>
      <c r="V28" s="197"/>
      <c r="W28" s="197"/>
      <c r="X28" s="197"/>
      <c r="Y28" s="197" t="s">
        <v>367</v>
      </c>
      <c r="Z28" s="197"/>
      <c r="AA28" s="197"/>
      <c r="AB28" s="197"/>
      <c r="AC28" s="197"/>
      <c r="AD28" s="197"/>
      <c r="AE28" s="197"/>
      <c r="AF28" s="197"/>
      <c r="AG28" s="197"/>
      <c r="AH28" s="197"/>
      <c r="AI28" s="197"/>
      <c r="AJ28" s="197"/>
      <c r="AK28" s="198"/>
    </row>
    <row r="29" spans="2:37" x14ac:dyDescent="0.35">
      <c r="B29" s="200"/>
      <c r="C29" s="78" t="s">
        <v>137</v>
      </c>
      <c r="D29" s="78" t="s">
        <v>368</v>
      </c>
      <c r="E29" s="79"/>
      <c r="F29" s="209" t="s">
        <v>34</v>
      </c>
      <c r="G29" s="195"/>
      <c r="H29" s="195"/>
      <c r="I29" s="195"/>
      <c r="J29" s="195"/>
      <c r="K29" s="195"/>
      <c r="L29" s="197" t="s">
        <v>369</v>
      </c>
      <c r="M29" s="197"/>
      <c r="N29" s="197"/>
      <c r="O29" s="197"/>
      <c r="P29" s="197"/>
      <c r="Q29" s="197"/>
      <c r="R29" s="197"/>
      <c r="S29" s="197"/>
      <c r="T29" s="197"/>
      <c r="U29" s="197"/>
      <c r="V29" s="197"/>
      <c r="W29" s="197"/>
      <c r="X29" s="197"/>
      <c r="Y29" s="197" t="s">
        <v>370</v>
      </c>
      <c r="Z29" s="197"/>
      <c r="AA29" s="197"/>
      <c r="AB29" s="197"/>
      <c r="AC29" s="197"/>
      <c r="AD29" s="197"/>
      <c r="AE29" s="197"/>
      <c r="AF29" s="197"/>
      <c r="AG29" s="197"/>
      <c r="AH29" s="197"/>
      <c r="AI29" s="197"/>
      <c r="AJ29" s="197"/>
      <c r="AK29" s="198"/>
    </row>
    <row r="30" spans="2:37" x14ac:dyDescent="0.35">
      <c r="B30" s="200"/>
      <c r="C30" s="78" t="s">
        <v>138</v>
      </c>
      <c r="D30" s="78" t="s">
        <v>371</v>
      </c>
      <c r="E30" s="79"/>
      <c r="F30" s="209" t="s">
        <v>35</v>
      </c>
      <c r="G30" s="195"/>
      <c r="H30" s="195"/>
      <c r="I30" s="195"/>
      <c r="J30" s="195"/>
      <c r="K30" s="195"/>
      <c r="L30" s="197" t="s">
        <v>372</v>
      </c>
      <c r="M30" s="197"/>
      <c r="N30" s="197"/>
      <c r="O30" s="197"/>
      <c r="P30" s="197"/>
      <c r="Q30" s="197"/>
      <c r="R30" s="197"/>
      <c r="S30" s="197"/>
      <c r="T30" s="197"/>
      <c r="U30" s="197"/>
      <c r="V30" s="197"/>
      <c r="W30" s="197"/>
      <c r="X30" s="197"/>
      <c r="Y30" s="197" t="s">
        <v>373</v>
      </c>
      <c r="Z30" s="197"/>
      <c r="AA30" s="197"/>
      <c r="AB30" s="197"/>
      <c r="AC30" s="197"/>
      <c r="AD30" s="197"/>
      <c r="AE30" s="197"/>
      <c r="AF30" s="197"/>
      <c r="AG30" s="197"/>
      <c r="AH30" s="197"/>
      <c r="AI30" s="197"/>
      <c r="AJ30" s="197"/>
      <c r="AK30" s="198"/>
    </row>
    <row r="31" spans="2:37" x14ac:dyDescent="0.35">
      <c r="B31" s="200"/>
      <c r="C31" s="78" t="s">
        <v>139</v>
      </c>
      <c r="D31" s="78" t="s">
        <v>374</v>
      </c>
      <c r="E31" s="79"/>
      <c r="F31" s="209" t="s">
        <v>36</v>
      </c>
      <c r="G31" s="195"/>
      <c r="H31" s="195"/>
      <c r="I31" s="195"/>
      <c r="J31" s="195"/>
      <c r="K31" s="195"/>
      <c r="L31" s="197" t="s">
        <v>375</v>
      </c>
      <c r="M31" s="197"/>
      <c r="N31" s="197"/>
      <c r="O31" s="197"/>
      <c r="P31" s="197"/>
      <c r="Q31" s="197"/>
      <c r="R31" s="197"/>
      <c r="S31" s="197"/>
      <c r="T31" s="197"/>
      <c r="U31" s="197"/>
      <c r="V31" s="197"/>
      <c r="W31" s="197"/>
      <c r="X31" s="197"/>
      <c r="Y31" s="197" t="s">
        <v>376</v>
      </c>
      <c r="Z31" s="197"/>
      <c r="AA31" s="197"/>
      <c r="AB31" s="197"/>
      <c r="AC31" s="197"/>
      <c r="AD31" s="197"/>
      <c r="AE31" s="197"/>
      <c r="AF31" s="197"/>
      <c r="AG31" s="197"/>
      <c r="AH31" s="197"/>
      <c r="AI31" s="197"/>
      <c r="AJ31" s="197"/>
      <c r="AK31" s="198"/>
    </row>
    <row r="32" spans="2:37" x14ac:dyDescent="0.35">
      <c r="B32" s="200"/>
      <c r="C32" s="78" t="s">
        <v>140</v>
      </c>
      <c r="D32" s="78" t="s">
        <v>377</v>
      </c>
      <c r="E32" s="79"/>
      <c r="F32" s="209" t="s">
        <v>37</v>
      </c>
      <c r="G32" s="195"/>
      <c r="H32" s="195"/>
      <c r="I32" s="195"/>
      <c r="J32" s="195"/>
      <c r="K32" s="195"/>
      <c r="L32" s="197" t="s">
        <v>378</v>
      </c>
      <c r="M32" s="197"/>
      <c r="N32" s="197"/>
      <c r="O32" s="197"/>
      <c r="P32" s="197"/>
      <c r="Q32" s="197"/>
      <c r="R32" s="197"/>
      <c r="S32" s="197"/>
      <c r="T32" s="197"/>
      <c r="U32" s="197"/>
      <c r="V32" s="197"/>
      <c r="W32" s="197"/>
      <c r="X32" s="197"/>
      <c r="Y32" s="197" t="s">
        <v>379</v>
      </c>
      <c r="Z32" s="197"/>
      <c r="AA32" s="197"/>
      <c r="AB32" s="197"/>
      <c r="AC32" s="197"/>
      <c r="AD32" s="197"/>
      <c r="AE32" s="197"/>
      <c r="AF32" s="197"/>
      <c r="AG32" s="197"/>
      <c r="AH32" s="197"/>
      <c r="AI32" s="197"/>
      <c r="AJ32" s="197"/>
      <c r="AK32" s="198"/>
    </row>
    <row r="33" spans="2:37" x14ac:dyDescent="0.35">
      <c r="B33" s="200"/>
      <c r="C33" s="78" t="s">
        <v>141</v>
      </c>
      <c r="D33" s="78" t="s">
        <v>380</v>
      </c>
      <c r="E33" s="79"/>
      <c r="F33" s="209" t="s">
        <v>38</v>
      </c>
      <c r="G33" s="195"/>
      <c r="H33" s="195"/>
      <c r="I33" s="195"/>
      <c r="J33" s="195"/>
      <c r="K33" s="195"/>
      <c r="L33" s="197" t="s">
        <v>381</v>
      </c>
      <c r="M33" s="197"/>
      <c r="N33" s="197"/>
      <c r="O33" s="197"/>
      <c r="P33" s="197"/>
      <c r="Q33" s="197"/>
      <c r="R33" s="197"/>
      <c r="S33" s="197"/>
      <c r="T33" s="197"/>
      <c r="U33" s="197"/>
      <c r="V33" s="197"/>
      <c r="W33" s="197"/>
      <c r="X33" s="197"/>
      <c r="Y33" s="197" t="s">
        <v>382</v>
      </c>
      <c r="Z33" s="197"/>
      <c r="AA33" s="197"/>
      <c r="AB33" s="197"/>
      <c r="AC33" s="197"/>
      <c r="AD33" s="197"/>
      <c r="AE33" s="197"/>
      <c r="AF33" s="197"/>
      <c r="AG33" s="197"/>
      <c r="AH33" s="197"/>
      <c r="AI33" s="197"/>
      <c r="AJ33" s="197"/>
      <c r="AK33" s="198"/>
    </row>
    <row r="34" spans="2:37" x14ac:dyDescent="0.35">
      <c r="B34" s="200"/>
      <c r="C34" s="78" t="s">
        <v>142</v>
      </c>
      <c r="D34" s="78" t="s">
        <v>383</v>
      </c>
      <c r="E34" s="79"/>
      <c r="F34" s="209" t="s">
        <v>39</v>
      </c>
      <c r="G34" s="195"/>
      <c r="H34" s="195"/>
      <c r="I34" s="195"/>
      <c r="J34" s="195"/>
      <c r="K34" s="195"/>
      <c r="L34" s="58"/>
      <c r="M34" s="58"/>
      <c r="N34" s="58"/>
      <c r="O34" s="49" t="s">
        <v>384</v>
      </c>
      <c r="P34" s="195" t="s">
        <v>385</v>
      </c>
      <c r="Q34" s="195"/>
      <c r="R34" s="195"/>
      <c r="S34" s="49" t="s">
        <v>386</v>
      </c>
      <c r="T34" s="195" t="s">
        <v>32</v>
      </c>
      <c r="U34" s="195"/>
      <c r="V34" s="195"/>
      <c r="W34" s="49" t="s">
        <v>387</v>
      </c>
      <c r="X34" s="49" t="s">
        <v>388</v>
      </c>
      <c r="Y34" s="195" t="s">
        <v>389</v>
      </c>
      <c r="Z34" s="195"/>
      <c r="AA34" s="195"/>
      <c r="AB34" s="195"/>
      <c r="AC34" s="195"/>
      <c r="AD34" s="195"/>
      <c r="AE34" s="195"/>
      <c r="AF34" s="195"/>
      <c r="AG34" s="195"/>
      <c r="AH34" s="195"/>
      <c r="AI34" s="195"/>
      <c r="AJ34" s="195"/>
      <c r="AK34" s="196"/>
    </row>
    <row r="35" spans="2:37" x14ac:dyDescent="0.35">
      <c r="B35" s="200"/>
      <c r="C35" s="78" t="s">
        <v>143</v>
      </c>
      <c r="D35" s="78" t="s">
        <v>390</v>
      </c>
      <c r="E35" s="79"/>
      <c r="F35" s="209" t="s">
        <v>40</v>
      </c>
      <c r="G35" s="195"/>
      <c r="H35" s="195"/>
      <c r="I35" s="195"/>
      <c r="J35" s="195"/>
      <c r="K35" s="195"/>
      <c r="L35" s="197" t="s">
        <v>391</v>
      </c>
      <c r="M35" s="197"/>
      <c r="N35" s="197"/>
      <c r="O35" s="197"/>
      <c r="P35" s="197"/>
      <c r="Q35" s="197"/>
      <c r="R35" s="197"/>
      <c r="S35" s="197"/>
      <c r="T35" s="197"/>
      <c r="U35" s="197"/>
      <c r="V35" s="197"/>
      <c r="W35" s="197"/>
      <c r="X35" s="197"/>
      <c r="Y35" s="197"/>
      <c r="Z35" s="197" t="s">
        <v>392</v>
      </c>
      <c r="AA35" s="197"/>
      <c r="AB35" s="197"/>
      <c r="AC35" s="197" t="s">
        <v>393</v>
      </c>
      <c r="AD35" s="197"/>
      <c r="AE35" s="197"/>
      <c r="AF35" s="197"/>
      <c r="AG35" s="197"/>
      <c r="AH35" s="197"/>
      <c r="AI35" s="197"/>
      <c r="AJ35" s="197"/>
      <c r="AK35" s="198"/>
    </row>
    <row r="36" spans="2:37" x14ac:dyDescent="0.35">
      <c r="B36" s="200"/>
      <c r="C36" s="78" t="s">
        <v>144</v>
      </c>
      <c r="D36" s="78" t="s">
        <v>394</v>
      </c>
      <c r="E36" s="79"/>
      <c r="F36" s="209" t="s">
        <v>41</v>
      </c>
      <c r="G36" s="195"/>
      <c r="H36" s="195"/>
      <c r="I36" s="195"/>
      <c r="J36" s="195"/>
      <c r="K36" s="195"/>
      <c r="L36" s="58"/>
      <c r="M36" s="49" t="s">
        <v>395</v>
      </c>
      <c r="N36" s="195" t="s">
        <v>13</v>
      </c>
      <c r="O36" s="195"/>
      <c r="P36" s="195"/>
      <c r="Q36" s="195"/>
      <c r="R36" s="195"/>
      <c r="S36" s="195"/>
      <c r="T36" s="195"/>
      <c r="U36" s="195"/>
      <c r="V36" s="195"/>
      <c r="W36" s="195"/>
      <c r="X36" s="195"/>
      <c r="Y36" s="195"/>
      <c r="Z36" s="197" t="s">
        <v>14</v>
      </c>
      <c r="AA36" s="197"/>
      <c r="AB36" s="197"/>
      <c r="AC36" s="197"/>
      <c r="AD36" s="197"/>
      <c r="AE36" s="197"/>
      <c r="AF36" s="197"/>
      <c r="AG36" s="197"/>
      <c r="AH36" s="197"/>
      <c r="AI36" s="197"/>
      <c r="AJ36" s="197"/>
      <c r="AK36" s="198"/>
    </row>
    <row r="37" spans="2:37" x14ac:dyDescent="0.35">
      <c r="B37" s="200"/>
      <c r="C37" s="78" t="s">
        <v>145</v>
      </c>
      <c r="D37" s="78" t="s">
        <v>396</v>
      </c>
      <c r="E37" s="79"/>
      <c r="F37" s="209" t="s">
        <v>43</v>
      </c>
      <c r="G37" s="195"/>
      <c r="H37" s="195"/>
      <c r="I37" s="195"/>
      <c r="J37" s="195"/>
      <c r="K37" s="195"/>
      <c r="L37" s="58"/>
      <c r="M37" s="58"/>
      <c r="N37" s="58"/>
      <c r="O37" s="58"/>
      <c r="P37" s="58"/>
      <c r="Q37" s="58"/>
      <c r="R37" s="49" t="s">
        <v>397</v>
      </c>
      <c r="S37" s="195" t="s">
        <v>398</v>
      </c>
      <c r="T37" s="195"/>
      <c r="U37" s="195"/>
      <c r="V37" s="195"/>
      <c r="W37" s="195"/>
      <c r="X37" s="195"/>
      <c r="Y37" s="195"/>
      <c r="Z37" s="195"/>
      <c r="AA37" s="49" t="s">
        <v>18</v>
      </c>
      <c r="AB37" s="49" t="s">
        <v>399</v>
      </c>
      <c r="AC37" s="49" t="s">
        <v>400</v>
      </c>
      <c r="AD37" s="195" t="s">
        <v>401</v>
      </c>
      <c r="AE37" s="195"/>
      <c r="AF37" s="197" t="s">
        <v>402</v>
      </c>
      <c r="AG37" s="197"/>
      <c r="AH37" s="197" t="s">
        <v>16</v>
      </c>
      <c r="AI37" s="197"/>
      <c r="AJ37" s="197"/>
      <c r="AK37" s="198"/>
    </row>
    <row r="38" spans="2:37" ht="15" thickBot="1" x14ac:dyDescent="0.4">
      <c r="B38" s="207"/>
      <c r="C38" s="135" t="s">
        <v>146</v>
      </c>
      <c r="D38" s="135" t="s">
        <v>403</v>
      </c>
      <c r="E38" s="79"/>
      <c r="F38" s="208" t="s">
        <v>45</v>
      </c>
      <c r="G38" s="193"/>
      <c r="H38" s="193"/>
      <c r="I38" s="193"/>
      <c r="J38" s="193"/>
      <c r="K38" s="193"/>
      <c r="L38" s="104"/>
      <c r="M38" s="104"/>
      <c r="N38" s="193" t="s">
        <v>404</v>
      </c>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4"/>
    </row>
    <row r="39" spans="2:37" ht="15" thickTop="1" x14ac:dyDescent="0.35">
      <c r="B39" s="199" t="s">
        <v>46</v>
      </c>
      <c r="C39" s="80" t="s">
        <v>147</v>
      </c>
      <c r="D39" s="80" t="s">
        <v>47</v>
      </c>
      <c r="E39" s="81"/>
      <c r="F39" s="69"/>
      <c r="G39" s="63"/>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5"/>
    </row>
    <row r="40" spans="2:37" x14ac:dyDescent="0.35">
      <c r="B40" s="200"/>
      <c r="C40" s="82" t="s">
        <v>148</v>
      </c>
      <c r="D40" s="82" t="s">
        <v>47</v>
      </c>
      <c r="E40" s="81"/>
      <c r="F40" s="70"/>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4"/>
    </row>
    <row r="41" spans="2:37" x14ac:dyDescent="0.35">
      <c r="B41" s="200"/>
      <c r="C41" s="82" t="s">
        <v>149</v>
      </c>
      <c r="D41" s="82" t="s">
        <v>47</v>
      </c>
      <c r="E41" s="81"/>
      <c r="F41" s="70"/>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56"/>
      <c r="AI41" s="56"/>
      <c r="AJ41" s="56"/>
      <c r="AK41" s="4"/>
    </row>
    <row r="42" spans="2:37" x14ac:dyDescent="0.35">
      <c r="B42" s="200"/>
      <c r="C42" s="82" t="s">
        <v>150</v>
      </c>
      <c r="D42" s="82" t="s">
        <v>47</v>
      </c>
      <c r="E42" s="81"/>
      <c r="F42" s="70"/>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56"/>
      <c r="AI42" s="56"/>
      <c r="AJ42" s="56"/>
      <c r="AK42" s="4"/>
    </row>
    <row r="43" spans="2:37" x14ac:dyDescent="0.35">
      <c r="B43" s="200"/>
      <c r="C43" s="85" t="s">
        <v>151</v>
      </c>
      <c r="D43" s="85" t="s">
        <v>405</v>
      </c>
      <c r="E43" s="86"/>
      <c r="F43" s="72"/>
      <c r="G43" s="62"/>
      <c r="H43" s="62"/>
      <c r="I43" s="62"/>
      <c r="J43" s="62"/>
      <c r="K43" s="62"/>
      <c r="L43" s="62"/>
      <c r="M43" s="62"/>
      <c r="N43" s="62"/>
      <c r="O43" s="62"/>
      <c r="P43" s="62"/>
      <c r="Q43" s="62"/>
      <c r="R43" s="62"/>
      <c r="S43" s="62"/>
      <c r="T43" s="42" t="s">
        <v>42</v>
      </c>
      <c r="U43" s="176" t="s">
        <v>268</v>
      </c>
      <c r="V43" s="176"/>
      <c r="W43" s="178" t="s">
        <v>269</v>
      </c>
      <c r="X43" s="178"/>
      <c r="Y43" s="178" t="s">
        <v>270</v>
      </c>
      <c r="Z43" s="178"/>
      <c r="AA43" s="178" t="s">
        <v>271</v>
      </c>
      <c r="AB43" s="178"/>
      <c r="AC43" s="42" t="s">
        <v>272</v>
      </c>
      <c r="AD43" s="176" t="s">
        <v>273</v>
      </c>
      <c r="AE43" s="176"/>
      <c r="AF43" s="176"/>
      <c r="AG43" s="176"/>
      <c r="AH43" s="178" t="s">
        <v>44</v>
      </c>
      <c r="AI43" s="178"/>
      <c r="AJ43" s="178"/>
      <c r="AK43" s="179"/>
    </row>
    <row r="44" spans="2:37" x14ac:dyDescent="0.35">
      <c r="B44" s="200"/>
      <c r="C44" s="85" t="s">
        <v>152</v>
      </c>
      <c r="D44" s="85" t="s">
        <v>406</v>
      </c>
      <c r="E44" s="86"/>
      <c r="F44" s="72"/>
      <c r="G44" s="62"/>
      <c r="H44" s="62"/>
      <c r="I44" s="62"/>
      <c r="J44" s="62"/>
      <c r="K44" s="62"/>
      <c r="L44" s="62"/>
      <c r="M44" s="62"/>
      <c r="N44" s="62"/>
      <c r="O44" s="62"/>
      <c r="P44" s="62"/>
      <c r="Q44" s="62"/>
      <c r="R44" s="62"/>
      <c r="S44" s="62"/>
      <c r="T44" s="62"/>
      <c r="U44" s="176" t="s">
        <v>275</v>
      </c>
      <c r="V44" s="176"/>
      <c r="W44" s="176"/>
      <c r="X44" s="176"/>
      <c r="Y44" s="176"/>
      <c r="Z44" s="176"/>
      <c r="AA44" s="176"/>
      <c r="AB44" s="176"/>
      <c r="AC44" s="176"/>
      <c r="AD44" s="176"/>
      <c r="AE44" s="176"/>
      <c r="AF44" s="176"/>
      <c r="AG44" s="176"/>
      <c r="AH44" s="176"/>
      <c r="AI44" s="176"/>
      <c r="AJ44" s="176"/>
      <c r="AK44" s="177"/>
    </row>
    <row r="45" spans="2:37" x14ac:dyDescent="0.35">
      <c r="B45" s="200"/>
      <c r="C45" s="85" t="s">
        <v>153</v>
      </c>
      <c r="D45" s="85" t="s">
        <v>407</v>
      </c>
      <c r="E45" s="86"/>
      <c r="F45" s="72"/>
      <c r="G45" s="62"/>
      <c r="H45" s="62"/>
      <c r="I45" s="62"/>
      <c r="J45" s="62"/>
      <c r="K45" s="62"/>
      <c r="L45" s="176" t="s">
        <v>408</v>
      </c>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7"/>
    </row>
    <row r="46" spans="2:37" x14ac:dyDescent="0.35">
      <c r="B46" s="200"/>
      <c r="C46" s="85" t="s">
        <v>154</v>
      </c>
      <c r="D46" s="85" t="s">
        <v>409</v>
      </c>
      <c r="E46" s="86"/>
      <c r="F46" s="72"/>
      <c r="G46" s="62"/>
      <c r="H46" s="62"/>
      <c r="I46" s="62"/>
      <c r="J46" s="62"/>
      <c r="K46" s="62"/>
      <c r="L46" s="62"/>
      <c r="M46" s="176" t="s">
        <v>278</v>
      </c>
      <c r="N46" s="176"/>
      <c r="O46" s="178" t="s">
        <v>279</v>
      </c>
      <c r="P46" s="178"/>
      <c r="Q46" s="178"/>
      <c r="R46" s="178"/>
      <c r="S46" s="42" t="s">
        <v>280</v>
      </c>
      <c r="T46" s="42" t="s">
        <v>281</v>
      </c>
      <c r="U46" s="42" t="s">
        <v>282</v>
      </c>
      <c r="V46" s="176" t="s">
        <v>283</v>
      </c>
      <c r="W46" s="176"/>
      <c r="X46" s="176"/>
      <c r="Y46" s="42" t="s">
        <v>284</v>
      </c>
      <c r="Z46" s="42" t="s">
        <v>285</v>
      </c>
      <c r="AA46" s="176" t="s">
        <v>286</v>
      </c>
      <c r="AB46" s="176"/>
      <c r="AC46" s="176"/>
      <c r="AD46" s="176"/>
      <c r="AE46" s="42" t="s">
        <v>287</v>
      </c>
      <c r="AF46" s="42" t="s">
        <v>288</v>
      </c>
      <c r="AG46" s="42" t="s">
        <v>289</v>
      </c>
      <c r="AH46" s="176" t="s">
        <v>290</v>
      </c>
      <c r="AI46" s="176"/>
      <c r="AJ46" s="178" t="s">
        <v>291</v>
      </c>
      <c r="AK46" s="179"/>
    </row>
    <row r="47" spans="2:37" x14ac:dyDescent="0.35">
      <c r="B47" s="200"/>
      <c r="C47" s="85" t="s">
        <v>155</v>
      </c>
      <c r="D47" s="85" t="s">
        <v>410</v>
      </c>
      <c r="E47" s="86"/>
      <c r="F47" s="72"/>
      <c r="G47" s="62"/>
      <c r="H47" s="62"/>
      <c r="I47" s="62"/>
      <c r="J47" s="62"/>
      <c r="K47" s="62"/>
      <c r="L47" s="42" t="s">
        <v>293</v>
      </c>
      <c r="M47" s="42" t="s">
        <v>294</v>
      </c>
      <c r="N47" s="42" t="s">
        <v>295</v>
      </c>
      <c r="O47" s="42" t="s">
        <v>296</v>
      </c>
      <c r="P47" s="42" t="s">
        <v>297</v>
      </c>
      <c r="Q47" s="42" t="s">
        <v>298</v>
      </c>
      <c r="R47" s="42" t="s">
        <v>299</v>
      </c>
      <c r="S47" s="176" t="s">
        <v>300</v>
      </c>
      <c r="T47" s="176"/>
      <c r="U47" s="176"/>
      <c r="V47" s="176"/>
      <c r="W47" s="176"/>
      <c r="X47" s="42" t="s">
        <v>301</v>
      </c>
      <c r="Y47" s="176" t="s">
        <v>302</v>
      </c>
      <c r="Z47" s="176"/>
      <c r="AA47" s="176"/>
      <c r="AB47" s="176"/>
      <c r="AC47" s="176"/>
      <c r="AD47" s="176"/>
      <c r="AE47" s="176"/>
      <c r="AF47" s="176"/>
      <c r="AG47" s="42" t="s">
        <v>303</v>
      </c>
      <c r="AH47" s="176" t="s">
        <v>304</v>
      </c>
      <c r="AI47" s="176"/>
      <c r="AJ47" s="42" t="s">
        <v>305</v>
      </c>
      <c r="AK47" s="43" t="s">
        <v>306</v>
      </c>
    </row>
    <row r="48" spans="2:37" x14ac:dyDescent="0.35">
      <c r="B48" s="200"/>
      <c r="C48" s="85" t="s">
        <v>156</v>
      </c>
      <c r="D48" s="85" t="s">
        <v>411</v>
      </c>
      <c r="E48" s="86"/>
      <c r="F48" s="72"/>
      <c r="G48" s="62"/>
      <c r="H48" s="62"/>
      <c r="I48" s="62"/>
      <c r="J48" s="62"/>
      <c r="K48" s="62"/>
      <c r="L48" s="176" t="s">
        <v>412</v>
      </c>
      <c r="M48" s="176"/>
      <c r="N48" s="176"/>
      <c r="O48" s="176"/>
      <c r="P48" s="42" t="s">
        <v>19</v>
      </c>
      <c r="Q48" s="42" t="s">
        <v>308</v>
      </c>
      <c r="R48" s="176" t="s">
        <v>309</v>
      </c>
      <c r="S48" s="176"/>
      <c r="T48" s="176"/>
      <c r="U48" s="176"/>
      <c r="V48" s="176"/>
      <c r="W48" s="176"/>
      <c r="X48" s="176"/>
      <c r="Y48" s="176"/>
      <c r="Z48" s="176"/>
      <c r="AA48" s="176"/>
      <c r="AB48" s="178" t="s">
        <v>310</v>
      </c>
      <c r="AC48" s="178"/>
      <c r="AD48" s="178"/>
      <c r="AE48" s="178"/>
      <c r="AF48" s="178"/>
      <c r="AG48" s="178"/>
      <c r="AH48" s="178"/>
      <c r="AI48" s="178"/>
      <c r="AJ48" s="178"/>
      <c r="AK48" s="179"/>
    </row>
    <row r="49" spans="2:37" x14ac:dyDescent="0.35">
      <c r="B49" s="200"/>
      <c r="C49" s="85" t="s">
        <v>157</v>
      </c>
      <c r="D49" s="85" t="s">
        <v>413</v>
      </c>
      <c r="E49" s="86"/>
      <c r="F49" s="72"/>
      <c r="G49" s="62"/>
      <c r="H49" s="62"/>
      <c r="I49" s="62"/>
      <c r="J49" s="62"/>
      <c r="K49" s="62"/>
      <c r="L49" s="176" t="s">
        <v>312</v>
      </c>
      <c r="M49" s="176"/>
      <c r="N49" s="176"/>
      <c r="O49" s="176"/>
      <c r="P49" s="176"/>
      <c r="Q49" s="176"/>
      <c r="R49" s="178" t="s">
        <v>313</v>
      </c>
      <c r="S49" s="178"/>
      <c r="T49" s="178"/>
      <c r="U49" s="178"/>
      <c r="V49" s="178"/>
      <c r="W49" s="178"/>
      <c r="X49" s="178"/>
      <c r="Y49" s="178"/>
      <c r="Z49" s="178"/>
      <c r="AA49" s="178"/>
      <c r="AB49" s="178" t="s">
        <v>314</v>
      </c>
      <c r="AC49" s="178"/>
      <c r="AD49" s="178"/>
      <c r="AE49" s="178"/>
      <c r="AF49" s="178"/>
      <c r="AG49" s="178"/>
      <c r="AH49" s="178"/>
      <c r="AI49" s="178"/>
      <c r="AJ49" s="178"/>
      <c r="AK49" s="179"/>
    </row>
    <row r="50" spans="2:37" x14ac:dyDescent="0.35">
      <c r="B50" s="200"/>
      <c r="C50" s="85" t="s">
        <v>158</v>
      </c>
      <c r="D50" s="85" t="s">
        <v>414</v>
      </c>
      <c r="E50" s="86"/>
      <c r="F50" s="72"/>
      <c r="G50" s="62"/>
      <c r="H50" s="62"/>
      <c r="I50" s="62"/>
      <c r="J50" s="62"/>
      <c r="K50" s="62"/>
      <c r="L50" s="62"/>
      <c r="M50" s="62"/>
      <c r="N50" s="62"/>
      <c r="O50" s="62"/>
      <c r="P50" s="62"/>
      <c r="Q50" s="62"/>
      <c r="R50" s="62"/>
      <c r="S50" s="62"/>
      <c r="T50" s="176" t="s">
        <v>316</v>
      </c>
      <c r="U50" s="176"/>
      <c r="V50" s="176"/>
      <c r="W50" s="176"/>
      <c r="X50" s="176"/>
      <c r="Y50" s="176"/>
      <c r="Z50" s="176"/>
      <c r="AA50" s="176"/>
      <c r="AB50" s="176"/>
      <c r="AC50" s="178" t="s">
        <v>317</v>
      </c>
      <c r="AD50" s="178"/>
      <c r="AE50" s="178"/>
      <c r="AF50" s="178"/>
      <c r="AG50" s="178"/>
      <c r="AH50" s="178"/>
      <c r="AI50" s="178"/>
      <c r="AJ50" s="178"/>
      <c r="AK50" s="179"/>
    </row>
    <row r="51" spans="2:37" x14ac:dyDescent="0.35">
      <c r="B51" s="200"/>
      <c r="C51" s="85" t="s">
        <v>159</v>
      </c>
      <c r="D51" s="85" t="s">
        <v>415</v>
      </c>
      <c r="E51" s="86"/>
      <c r="F51" s="72"/>
      <c r="G51" s="62"/>
      <c r="H51" s="62"/>
      <c r="I51" s="62"/>
      <c r="J51" s="62"/>
      <c r="K51" s="62"/>
      <c r="L51" s="42" t="s">
        <v>416</v>
      </c>
      <c r="M51" s="176" t="s">
        <v>319</v>
      </c>
      <c r="N51" s="176"/>
      <c r="O51" s="176"/>
      <c r="P51" s="176"/>
      <c r="Q51" s="176"/>
      <c r="R51" s="176"/>
      <c r="S51" s="176"/>
      <c r="T51" s="178" t="s">
        <v>320</v>
      </c>
      <c r="U51" s="178"/>
      <c r="V51" s="178"/>
      <c r="W51" s="178"/>
      <c r="X51" s="178"/>
      <c r="Y51" s="178"/>
      <c r="Z51" s="178"/>
      <c r="AA51" s="178"/>
      <c r="AB51" s="178"/>
      <c r="AC51" s="178" t="s">
        <v>321</v>
      </c>
      <c r="AD51" s="178"/>
      <c r="AE51" s="178"/>
      <c r="AF51" s="178"/>
      <c r="AG51" s="178"/>
      <c r="AH51" s="178"/>
      <c r="AI51" s="178"/>
      <c r="AJ51" s="178"/>
      <c r="AK51" s="179"/>
    </row>
    <row r="52" spans="2:37" x14ac:dyDescent="0.35">
      <c r="B52" s="200"/>
      <c r="C52" s="85" t="s">
        <v>160</v>
      </c>
      <c r="D52" s="85" t="s">
        <v>417</v>
      </c>
      <c r="E52" s="86"/>
      <c r="F52" s="72"/>
      <c r="G52" s="62"/>
      <c r="H52" s="62"/>
      <c r="I52" s="62"/>
      <c r="J52" s="62"/>
      <c r="K52" s="62"/>
      <c r="L52" s="176" t="s">
        <v>323</v>
      </c>
      <c r="M52" s="176"/>
      <c r="N52" s="176"/>
      <c r="O52" s="176"/>
      <c r="P52" s="176"/>
      <c r="Q52" s="176"/>
      <c r="R52" s="176"/>
      <c r="S52" s="176"/>
      <c r="T52" s="176"/>
      <c r="U52" s="176"/>
      <c r="V52" s="178" t="s">
        <v>324</v>
      </c>
      <c r="W52" s="178"/>
      <c r="X52" s="178"/>
      <c r="Y52" s="178"/>
      <c r="Z52" s="178"/>
      <c r="AA52" s="178"/>
      <c r="AB52" s="178"/>
      <c r="AC52" s="178"/>
      <c r="AD52" s="178"/>
      <c r="AE52" s="178"/>
      <c r="AF52" s="178" t="s">
        <v>325</v>
      </c>
      <c r="AG52" s="178"/>
      <c r="AH52" s="178"/>
      <c r="AI52" s="178"/>
      <c r="AJ52" s="178"/>
      <c r="AK52" s="179"/>
    </row>
    <row r="53" spans="2:37" x14ac:dyDescent="0.35">
      <c r="B53" s="200"/>
      <c r="C53" s="85" t="s">
        <v>161</v>
      </c>
      <c r="D53" s="85" t="s">
        <v>418</v>
      </c>
      <c r="E53" s="86"/>
      <c r="F53" s="72"/>
      <c r="G53" s="62"/>
      <c r="H53" s="62"/>
      <c r="I53" s="62"/>
      <c r="J53" s="62"/>
      <c r="K53" s="62"/>
      <c r="L53" s="42" t="s">
        <v>327</v>
      </c>
      <c r="M53" s="176" t="s">
        <v>328</v>
      </c>
      <c r="N53" s="176"/>
      <c r="O53" s="176"/>
      <c r="P53" s="176"/>
      <c r="Q53" s="176"/>
      <c r="R53" s="176"/>
      <c r="S53" s="176"/>
      <c r="T53" s="176"/>
      <c r="U53" s="176"/>
      <c r="V53" s="176"/>
      <c r="W53" s="176"/>
      <c r="X53" s="178" t="s">
        <v>329</v>
      </c>
      <c r="Y53" s="178"/>
      <c r="Z53" s="178"/>
      <c r="AA53" s="178"/>
      <c r="AB53" s="178"/>
      <c r="AC53" s="178"/>
      <c r="AD53" s="178"/>
      <c r="AE53" s="178"/>
      <c r="AF53" s="178"/>
      <c r="AG53" s="178"/>
      <c r="AH53" s="178"/>
      <c r="AI53" s="178"/>
      <c r="AJ53" s="178"/>
      <c r="AK53" s="179"/>
    </row>
    <row r="54" spans="2:37" x14ac:dyDescent="0.35">
      <c r="B54" s="200"/>
      <c r="C54" s="85" t="s">
        <v>162</v>
      </c>
      <c r="D54" s="85" t="s">
        <v>419</v>
      </c>
      <c r="E54" s="86"/>
      <c r="F54" s="72"/>
      <c r="G54" s="62"/>
      <c r="H54" s="62"/>
      <c r="I54" s="62"/>
      <c r="J54" s="62"/>
      <c r="K54" s="62"/>
      <c r="L54" s="176" t="s">
        <v>420</v>
      </c>
      <c r="M54" s="176"/>
      <c r="N54" s="178" t="s">
        <v>331</v>
      </c>
      <c r="O54" s="178"/>
      <c r="P54" s="178"/>
      <c r="Q54" s="178"/>
      <c r="R54" s="178"/>
      <c r="S54" s="178"/>
      <c r="T54" s="178" t="s">
        <v>332</v>
      </c>
      <c r="U54" s="178"/>
      <c r="V54" s="178"/>
      <c r="W54" s="178"/>
      <c r="X54" s="178"/>
      <c r="Y54" s="178"/>
      <c r="Z54" s="178" t="s">
        <v>333</v>
      </c>
      <c r="AA54" s="178"/>
      <c r="AB54" s="178"/>
      <c r="AC54" s="178"/>
      <c r="AD54" s="178"/>
      <c r="AE54" s="178"/>
      <c r="AF54" s="178" t="s">
        <v>334</v>
      </c>
      <c r="AG54" s="178"/>
      <c r="AH54" s="178"/>
      <c r="AI54" s="178"/>
      <c r="AJ54" s="178"/>
      <c r="AK54" s="179"/>
    </row>
    <row r="55" spans="2:37" x14ac:dyDescent="0.35">
      <c r="B55" s="200"/>
      <c r="C55" s="83" t="s">
        <v>163</v>
      </c>
      <c r="D55" s="83" t="s">
        <v>421</v>
      </c>
      <c r="E55" s="84"/>
      <c r="F55" s="71"/>
      <c r="G55" s="61"/>
      <c r="H55" s="61"/>
      <c r="I55" s="61"/>
      <c r="J55" s="61"/>
      <c r="K55" s="61"/>
      <c r="L55" s="169" t="s">
        <v>422</v>
      </c>
      <c r="M55" s="169"/>
      <c r="N55" s="170" t="s">
        <v>336</v>
      </c>
      <c r="O55" s="170"/>
      <c r="P55" s="170" t="s">
        <v>337</v>
      </c>
      <c r="Q55" s="170"/>
      <c r="R55" s="170"/>
      <c r="S55" s="170" t="s">
        <v>338</v>
      </c>
      <c r="T55" s="170"/>
      <c r="U55" s="44" t="s">
        <v>339</v>
      </c>
      <c r="V55" s="44" t="s">
        <v>340</v>
      </c>
      <c r="W55" s="44" t="s">
        <v>341</v>
      </c>
      <c r="X55" s="44" t="s">
        <v>342</v>
      </c>
      <c r="Y55" s="44" t="s">
        <v>343</v>
      </c>
      <c r="Z55" s="44" t="s">
        <v>344</v>
      </c>
      <c r="AA55" s="44" t="s">
        <v>345</v>
      </c>
      <c r="AB55" s="169" t="s">
        <v>346</v>
      </c>
      <c r="AC55" s="169"/>
      <c r="AD55" s="170" t="s">
        <v>347</v>
      </c>
      <c r="AE55" s="170"/>
      <c r="AF55" s="44" t="s">
        <v>348</v>
      </c>
      <c r="AG55" s="44" t="s">
        <v>349</v>
      </c>
      <c r="AH55" s="44" t="s">
        <v>350</v>
      </c>
      <c r="AI55" s="169" t="s">
        <v>351</v>
      </c>
      <c r="AJ55" s="169"/>
      <c r="AK55" s="175"/>
    </row>
    <row r="56" spans="2:37" x14ac:dyDescent="0.35">
      <c r="B56" s="200"/>
      <c r="C56" s="83" t="s">
        <v>164</v>
      </c>
      <c r="D56" s="83" t="s">
        <v>423</v>
      </c>
      <c r="E56" s="84"/>
      <c r="F56" s="71"/>
      <c r="G56" s="61"/>
      <c r="H56" s="61"/>
      <c r="I56" s="61"/>
      <c r="J56" s="61"/>
      <c r="K56" s="61"/>
      <c r="L56" s="61"/>
      <c r="M56" s="61"/>
      <c r="N56" s="61"/>
      <c r="O56" s="61"/>
      <c r="P56" s="61"/>
      <c r="Q56" s="61"/>
      <c r="R56" s="61"/>
      <c r="S56" s="61"/>
      <c r="T56" s="61"/>
      <c r="U56" s="61"/>
      <c r="V56" s="61"/>
      <c r="W56" s="61"/>
      <c r="X56" s="61"/>
      <c r="Y56" s="61"/>
      <c r="Z56" s="61"/>
      <c r="AA56" s="61"/>
      <c r="AB56" s="61"/>
      <c r="AC56" s="169" t="s">
        <v>353</v>
      </c>
      <c r="AD56" s="169"/>
      <c r="AE56" s="170" t="s">
        <v>354</v>
      </c>
      <c r="AF56" s="170"/>
      <c r="AG56" s="170"/>
      <c r="AH56" s="170"/>
      <c r="AI56" s="170"/>
      <c r="AJ56" s="170"/>
      <c r="AK56" s="171"/>
    </row>
    <row r="57" spans="2:37" x14ac:dyDescent="0.35">
      <c r="B57" s="200"/>
      <c r="C57" s="83" t="s">
        <v>165</v>
      </c>
      <c r="D57" s="83" t="s">
        <v>424</v>
      </c>
      <c r="E57" s="84"/>
      <c r="F57" s="71"/>
      <c r="G57" s="61"/>
      <c r="H57" s="61"/>
      <c r="I57" s="61"/>
      <c r="J57" s="61"/>
      <c r="K57" s="61"/>
      <c r="L57" s="61"/>
      <c r="M57" s="61"/>
      <c r="N57" s="61"/>
      <c r="O57" s="61"/>
      <c r="P57" s="61"/>
      <c r="Q57" s="61"/>
      <c r="R57" s="61"/>
      <c r="S57" s="61"/>
      <c r="T57" s="61"/>
      <c r="U57" s="61"/>
      <c r="V57" s="61"/>
      <c r="W57" s="61"/>
      <c r="X57" s="61"/>
      <c r="Y57" s="61"/>
      <c r="Z57" s="61"/>
      <c r="AA57" s="61"/>
      <c r="AB57" s="61"/>
      <c r="AC57" s="169" t="s">
        <v>17</v>
      </c>
      <c r="AD57" s="169"/>
      <c r="AE57" s="169"/>
      <c r="AF57" s="44" t="s">
        <v>356</v>
      </c>
      <c r="AG57" s="44" t="s">
        <v>425</v>
      </c>
      <c r="AH57" s="169" t="s">
        <v>358</v>
      </c>
      <c r="AI57" s="169"/>
      <c r="AJ57" s="169"/>
      <c r="AK57" s="175"/>
    </row>
    <row r="58" spans="2:37" x14ac:dyDescent="0.35">
      <c r="B58" s="200"/>
      <c r="C58" s="83" t="s">
        <v>166</v>
      </c>
      <c r="D58" s="83" t="s">
        <v>426</v>
      </c>
      <c r="E58" s="84"/>
      <c r="F58" s="71"/>
      <c r="G58" s="61"/>
      <c r="H58" s="61"/>
      <c r="I58" s="61"/>
      <c r="J58" s="61"/>
      <c r="K58" s="61"/>
      <c r="L58" s="169" t="s">
        <v>360</v>
      </c>
      <c r="M58" s="169"/>
      <c r="N58" s="169"/>
      <c r="O58" s="169"/>
      <c r="P58" s="169"/>
      <c r="Q58" s="169"/>
      <c r="R58" s="169"/>
      <c r="S58" s="169"/>
      <c r="T58" s="169"/>
      <c r="U58" s="169"/>
      <c r="V58" s="169"/>
      <c r="W58" s="169"/>
      <c r="X58" s="169"/>
      <c r="Y58" s="170" t="s">
        <v>361</v>
      </c>
      <c r="Z58" s="170"/>
      <c r="AA58" s="170"/>
      <c r="AB58" s="170"/>
      <c r="AC58" s="170"/>
      <c r="AD58" s="170"/>
      <c r="AE58" s="170"/>
      <c r="AF58" s="170"/>
      <c r="AG58" s="170"/>
      <c r="AH58" s="170"/>
      <c r="AI58" s="170"/>
      <c r="AJ58" s="170"/>
      <c r="AK58" s="171"/>
    </row>
    <row r="59" spans="2:37" x14ac:dyDescent="0.35">
      <c r="B59" s="200"/>
      <c r="C59" s="83" t="s">
        <v>167</v>
      </c>
      <c r="D59" s="83" t="s">
        <v>427</v>
      </c>
      <c r="E59" s="84"/>
      <c r="F59" s="71"/>
      <c r="G59" s="61"/>
      <c r="H59" s="61"/>
      <c r="I59" s="61"/>
      <c r="J59" s="61"/>
      <c r="K59" s="61"/>
      <c r="L59" s="169" t="s">
        <v>363</v>
      </c>
      <c r="M59" s="169"/>
      <c r="N59" s="169"/>
      <c r="O59" s="169"/>
      <c r="P59" s="169"/>
      <c r="Q59" s="169"/>
      <c r="R59" s="169"/>
      <c r="S59" s="169"/>
      <c r="T59" s="169"/>
      <c r="U59" s="169"/>
      <c r="V59" s="169"/>
      <c r="W59" s="169"/>
      <c r="X59" s="169"/>
      <c r="Y59" s="170" t="s">
        <v>364</v>
      </c>
      <c r="Z59" s="170"/>
      <c r="AA59" s="170"/>
      <c r="AB59" s="170"/>
      <c r="AC59" s="170"/>
      <c r="AD59" s="170"/>
      <c r="AE59" s="170"/>
      <c r="AF59" s="170"/>
      <c r="AG59" s="170"/>
      <c r="AH59" s="170"/>
      <c r="AI59" s="170"/>
      <c r="AJ59" s="170"/>
      <c r="AK59" s="171"/>
    </row>
    <row r="60" spans="2:37" x14ac:dyDescent="0.35">
      <c r="B60" s="200"/>
      <c r="C60" s="83" t="s">
        <v>168</v>
      </c>
      <c r="D60" s="83" t="s">
        <v>428</v>
      </c>
      <c r="E60" s="84"/>
      <c r="F60" s="71"/>
      <c r="G60" s="61"/>
      <c r="H60" s="61"/>
      <c r="I60" s="61"/>
      <c r="J60" s="61"/>
      <c r="K60" s="61"/>
      <c r="L60" s="169" t="s">
        <v>366</v>
      </c>
      <c r="M60" s="169"/>
      <c r="N60" s="169"/>
      <c r="O60" s="169"/>
      <c r="P60" s="169"/>
      <c r="Q60" s="169"/>
      <c r="R60" s="169"/>
      <c r="S60" s="169"/>
      <c r="T60" s="169"/>
      <c r="U60" s="169"/>
      <c r="V60" s="169"/>
      <c r="W60" s="169"/>
      <c r="X60" s="169"/>
      <c r="Y60" s="170" t="s">
        <v>367</v>
      </c>
      <c r="Z60" s="170"/>
      <c r="AA60" s="170"/>
      <c r="AB60" s="170"/>
      <c r="AC60" s="170"/>
      <c r="AD60" s="170"/>
      <c r="AE60" s="170"/>
      <c r="AF60" s="170"/>
      <c r="AG60" s="170"/>
      <c r="AH60" s="170"/>
      <c r="AI60" s="170"/>
      <c r="AJ60" s="170"/>
      <c r="AK60" s="171"/>
    </row>
    <row r="61" spans="2:37" x14ac:dyDescent="0.35">
      <c r="B61" s="200"/>
      <c r="C61" s="83" t="s">
        <v>169</v>
      </c>
      <c r="D61" s="83" t="s">
        <v>429</v>
      </c>
      <c r="E61" s="84"/>
      <c r="F61" s="71"/>
      <c r="G61" s="61"/>
      <c r="H61" s="61"/>
      <c r="I61" s="61"/>
      <c r="J61" s="61"/>
      <c r="K61" s="61"/>
      <c r="L61" s="169" t="s">
        <v>369</v>
      </c>
      <c r="M61" s="169"/>
      <c r="N61" s="169"/>
      <c r="O61" s="169"/>
      <c r="P61" s="169"/>
      <c r="Q61" s="169"/>
      <c r="R61" s="169"/>
      <c r="S61" s="169"/>
      <c r="T61" s="169"/>
      <c r="U61" s="169"/>
      <c r="V61" s="169"/>
      <c r="W61" s="169"/>
      <c r="X61" s="169"/>
      <c r="Y61" s="170" t="s">
        <v>370</v>
      </c>
      <c r="Z61" s="170"/>
      <c r="AA61" s="170"/>
      <c r="AB61" s="170"/>
      <c r="AC61" s="170"/>
      <c r="AD61" s="170"/>
      <c r="AE61" s="170"/>
      <c r="AF61" s="170"/>
      <c r="AG61" s="170"/>
      <c r="AH61" s="170"/>
      <c r="AI61" s="170"/>
      <c r="AJ61" s="170"/>
      <c r="AK61" s="171"/>
    </row>
    <row r="62" spans="2:37" x14ac:dyDescent="0.35">
      <c r="B62" s="200"/>
      <c r="C62" s="83" t="s">
        <v>170</v>
      </c>
      <c r="D62" s="83" t="s">
        <v>430</v>
      </c>
      <c r="E62" s="84"/>
      <c r="F62" s="71"/>
      <c r="G62" s="61"/>
      <c r="H62" s="61"/>
      <c r="I62" s="61"/>
      <c r="J62" s="61"/>
      <c r="K62" s="61"/>
      <c r="L62" s="169" t="s">
        <v>372</v>
      </c>
      <c r="M62" s="169"/>
      <c r="N62" s="169"/>
      <c r="O62" s="169"/>
      <c r="P62" s="169"/>
      <c r="Q62" s="169"/>
      <c r="R62" s="169"/>
      <c r="S62" s="169"/>
      <c r="T62" s="169"/>
      <c r="U62" s="169"/>
      <c r="V62" s="169"/>
      <c r="W62" s="169"/>
      <c r="X62" s="169"/>
      <c r="Y62" s="170" t="s">
        <v>373</v>
      </c>
      <c r="Z62" s="170"/>
      <c r="AA62" s="170"/>
      <c r="AB62" s="170"/>
      <c r="AC62" s="170"/>
      <c r="AD62" s="170"/>
      <c r="AE62" s="170"/>
      <c r="AF62" s="170"/>
      <c r="AG62" s="170"/>
      <c r="AH62" s="170"/>
      <c r="AI62" s="170"/>
      <c r="AJ62" s="170"/>
      <c r="AK62" s="171"/>
    </row>
    <row r="63" spans="2:37" x14ac:dyDescent="0.35">
      <c r="B63" s="200"/>
      <c r="C63" s="83" t="s">
        <v>171</v>
      </c>
      <c r="D63" s="83" t="s">
        <v>431</v>
      </c>
      <c r="E63" s="84"/>
      <c r="F63" s="71"/>
      <c r="G63" s="61"/>
      <c r="H63" s="61"/>
      <c r="I63" s="61"/>
      <c r="J63" s="61"/>
      <c r="K63" s="61"/>
      <c r="L63" s="169" t="s">
        <v>375</v>
      </c>
      <c r="M63" s="169"/>
      <c r="N63" s="169"/>
      <c r="O63" s="169"/>
      <c r="P63" s="169"/>
      <c r="Q63" s="169"/>
      <c r="R63" s="169"/>
      <c r="S63" s="169"/>
      <c r="T63" s="169"/>
      <c r="U63" s="169"/>
      <c r="V63" s="169"/>
      <c r="W63" s="169"/>
      <c r="X63" s="169"/>
      <c r="Y63" s="170" t="s">
        <v>376</v>
      </c>
      <c r="Z63" s="170"/>
      <c r="AA63" s="170"/>
      <c r="AB63" s="170"/>
      <c r="AC63" s="170"/>
      <c r="AD63" s="170"/>
      <c r="AE63" s="170"/>
      <c r="AF63" s="170"/>
      <c r="AG63" s="170"/>
      <c r="AH63" s="170"/>
      <c r="AI63" s="170"/>
      <c r="AJ63" s="170"/>
      <c r="AK63" s="171"/>
    </row>
    <row r="64" spans="2:37" x14ac:dyDescent="0.35">
      <c r="B64" s="200"/>
      <c r="C64" s="83" t="s">
        <v>172</v>
      </c>
      <c r="D64" s="83" t="s">
        <v>432</v>
      </c>
      <c r="E64" s="84"/>
      <c r="F64" s="71"/>
      <c r="G64" s="61"/>
      <c r="H64" s="61"/>
      <c r="I64" s="61"/>
      <c r="J64" s="61"/>
      <c r="K64" s="61"/>
      <c r="L64" s="169" t="s">
        <v>378</v>
      </c>
      <c r="M64" s="169"/>
      <c r="N64" s="169"/>
      <c r="O64" s="169"/>
      <c r="P64" s="169"/>
      <c r="Q64" s="169"/>
      <c r="R64" s="169"/>
      <c r="S64" s="169"/>
      <c r="T64" s="169"/>
      <c r="U64" s="169"/>
      <c r="V64" s="169"/>
      <c r="W64" s="169"/>
      <c r="X64" s="169"/>
      <c r="Y64" s="170" t="s">
        <v>379</v>
      </c>
      <c r="Z64" s="170"/>
      <c r="AA64" s="170"/>
      <c r="AB64" s="170"/>
      <c r="AC64" s="170"/>
      <c r="AD64" s="170"/>
      <c r="AE64" s="170"/>
      <c r="AF64" s="170"/>
      <c r="AG64" s="170"/>
      <c r="AH64" s="170"/>
      <c r="AI64" s="170"/>
      <c r="AJ64" s="170"/>
      <c r="AK64" s="171"/>
    </row>
    <row r="65" spans="2:37" x14ac:dyDescent="0.35">
      <c r="B65" s="200"/>
      <c r="C65" s="83" t="s">
        <v>173</v>
      </c>
      <c r="D65" s="83" t="s">
        <v>433</v>
      </c>
      <c r="E65" s="84"/>
      <c r="F65" s="71"/>
      <c r="G65" s="61"/>
      <c r="H65" s="61"/>
      <c r="I65" s="61"/>
      <c r="J65" s="61"/>
      <c r="K65" s="61"/>
      <c r="L65" s="169" t="s">
        <v>381</v>
      </c>
      <c r="M65" s="169"/>
      <c r="N65" s="169"/>
      <c r="O65" s="169"/>
      <c r="P65" s="169"/>
      <c r="Q65" s="169"/>
      <c r="R65" s="169"/>
      <c r="S65" s="169"/>
      <c r="T65" s="169"/>
      <c r="U65" s="169"/>
      <c r="V65" s="169"/>
      <c r="W65" s="169"/>
      <c r="X65" s="169"/>
      <c r="Y65" s="170" t="s">
        <v>382</v>
      </c>
      <c r="Z65" s="170"/>
      <c r="AA65" s="170"/>
      <c r="AB65" s="170"/>
      <c r="AC65" s="170"/>
      <c r="AD65" s="170"/>
      <c r="AE65" s="170"/>
      <c r="AF65" s="170"/>
      <c r="AG65" s="170"/>
      <c r="AH65" s="170"/>
      <c r="AI65" s="170"/>
      <c r="AJ65" s="170"/>
      <c r="AK65" s="171"/>
    </row>
    <row r="66" spans="2:37" x14ac:dyDescent="0.35">
      <c r="B66" s="200"/>
      <c r="C66" s="83" t="s">
        <v>174</v>
      </c>
      <c r="D66" s="83" t="s">
        <v>434</v>
      </c>
      <c r="E66" s="84"/>
      <c r="F66" s="71"/>
      <c r="G66" s="61"/>
      <c r="H66" s="61"/>
      <c r="I66" s="61"/>
      <c r="J66" s="61"/>
      <c r="K66" s="61"/>
      <c r="L66" s="169" t="s">
        <v>435</v>
      </c>
      <c r="M66" s="169"/>
      <c r="N66" s="169"/>
      <c r="O66" s="44" t="s">
        <v>384</v>
      </c>
      <c r="P66" s="169" t="s">
        <v>385</v>
      </c>
      <c r="Q66" s="169"/>
      <c r="R66" s="169"/>
      <c r="S66" s="44" t="s">
        <v>386</v>
      </c>
      <c r="T66" s="169" t="s">
        <v>32</v>
      </c>
      <c r="U66" s="169"/>
      <c r="V66" s="169"/>
      <c r="W66" s="44" t="s">
        <v>387</v>
      </c>
      <c r="X66" s="44" t="s">
        <v>388</v>
      </c>
      <c r="Y66" s="169" t="s">
        <v>389</v>
      </c>
      <c r="Z66" s="169"/>
      <c r="AA66" s="169"/>
      <c r="AB66" s="169"/>
      <c r="AC66" s="169"/>
      <c r="AD66" s="169"/>
      <c r="AE66" s="169"/>
      <c r="AF66" s="169"/>
      <c r="AG66" s="169"/>
      <c r="AH66" s="169"/>
      <c r="AI66" s="169"/>
      <c r="AJ66" s="169"/>
      <c r="AK66" s="175"/>
    </row>
    <row r="67" spans="2:37" x14ac:dyDescent="0.35">
      <c r="B67" s="200"/>
      <c r="C67" s="83" t="s">
        <v>175</v>
      </c>
      <c r="D67" s="83" t="s">
        <v>436</v>
      </c>
      <c r="E67" s="84"/>
      <c r="F67" s="71"/>
      <c r="G67" s="61"/>
      <c r="H67" s="61"/>
      <c r="I67" s="61"/>
      <c r="J67" s="61"/>
      <c r="K67" s="61"/>
      <c r="L67" s="169" t="s">
        <v>391</v>
      </c>
      <c r="M67" s="169"/>
      <c r="N67" s="169"/>
      <c r="O67" s="169"/>
      <c r="P67" s="169"/>
      <c r="Q67" s="169"/>
      <c r="R67" s="169"/>
      <c r="S67" s="169"/>
      <c r="T67" s="169"/>
      <c r="U67" s="169"/>
      <c r="V67" s="169"/>
      <c r="W67" s="169"/>
      <c r="X67" s="169"/>
      <c r="Y67" s="169"/>
      <c r="Z67" s="170" t="s">
        <v>392</v>
      </c>
      <c r="AA67" s="170"/>
      <c r="AB67" s="170"/>
      <c r="AC67" s="170" t="s">
        <v>393</v>
      </c>
      <c r="AD67" s="170"/>
      <c r="AE67" s="170"/>
      <c r="AF67" s="170"/>
      <c r="AG67" s="170"/>
      <c r="AH67" s="170"/>
      <c r="AI67" s="170"/>
      <c r="AJ67" s="170"/>
      <c r="AK67" s="171"/>
    </row>
    <row r="68" spans="2:37" x14ac:dyDescent="0.35">
      <c r="B68" s="200"/>
      <c r="C68" s="83" t="s">
        <v>176</v>
      </c>
      <c r="D68" s="83" t="s">
        <v>437</v>
      </c>
      <c r="E68" s="84"/>
      <c r="F68" s="71"/>
      <c r="G68" s="61"/>
      <c r="H68" s="61"/>
      <c r="I68" s="61"/>
      <c r="J68" s="61"/>
      <c r="K68" s="61"/>
      <c r="L68" s="61"/>
      <c r="M68" s="44" t="s">
        <v>395</v>
      </c>
      <c r="N68" s="169" t="s">
        <v>13</v>
      </c>
      <c r="O68" s="169"/>
      <c r="P68" s="169"/>
      <c r="Q68" s="169"/>
      <c r="R68" s="169"/>
      <c r="S68" s="169"/>
      <c r="T68" s="169"/>
      <c r="U68" s="169"/>
      <c r="V68" s="169"/>
      <c r="W68" s="169"/>
      <c r="X68" s="169"/>
      <c r="Y68" s="169"/>
      <c r="Z68" s="170" t="s">
        <v>14</v>
      </c>
      <c r="AA68" s="170"/>
      <c r="AB68" s="170"/>
      <c r="AC68" s="170"/>
      <c r="AD68" s="170"/>
      <c r="AE68" s="170"/>
      <c r="AF68" s="170"/>
      <c r="AG68" s="170"/>
      <c r="AH68" s="170"/>
      <c r="AI68" s="170"/>
      <c r="AJ68" s="170"/>
      <c r="AK68" s="171"/>
    </row>
    <row r="69" spans="2:37" x14ac:dyDescent="0.35">
      <c r="B69" s="200"/>
      <c r="C69" s="83" t="s">
        <v>177</v>
      </c>
      <c r="D69" s="83" t="s">
        <v>438</v>
      </c>
      <c r="E69" s="84"/>
      <c r="F69" s="71"/>
      <c r="G69" s="61"/>
      <c r="H69" s="61"/>
      <c r="I69" s="61"/>
      <c r="J69" s="61"/>
      <c r="K69" s="61"/>
      <c r="L69" s="169" t="s">
        <v>439</v>
      </c>
      <c r="M69" s="169"/>
      <c r="N69" s="169"/>
      <c r="O69" s="169"/>
      <c r="P69" s="169"/>
      <c r="Q69" s="169"/>
      <c r="R69" s="44" t="s">
        <v>397</v>
      </c>
      <c r="S69" s="169" t="s">
        <v>398</v>
      </c>
      <c r="T69" s="169"/>
      <c r="U69" s="169"/>
      <c r="V69" s="169"/>
      <c r="W69" s="169"/>
      <c r="X69" s="169"/>
      <c r="Y69" s="169"/>
      <c r="Z69" s="169"/>
      <c r="AA69" s="44" t="s">
        <v>18</v>
      </c>
      <c r="AB69" s="44" t="s">
        <v>399</v>
      </c>
      <c r="AC69" s="44" t="s">
        <v>400</v>
      </c>
      <c r="AD69" s="169" t="s">
        <v>401</v>
      </c>
      <c r="AE69" s="169"/>
      <c r="AF69" s="170" t="s">
        <v>402</v>
      </c>
      <c r="AG69" s="170"/>
      <c r="AH69" s="170" t="s">
        <v>16</v>
      </c>
      <c r="AI69" s="170"/>
      <c r="AJ69" s="170"/>
      <c r="AK69" s="171"/>
    </row>
    <row r="70" spans="2:37" ht="15" thickBot="1" x14ac:dyDescent="0.4">
      <c r="B70" s="207"/>
      <c r="C70" s="136" t="s">
        <v>178</v>
      </c>
      <c r="D70" s="136" t="s">
        <v>440</v>
      </c>
      <c r="E70" s="84"/>
      <c r="F70" s="133"/>
      <c r="G70" s="111"/>
      <c r="H70" s="111"/>
      <c r="I70" s="111"/>
      <c r="J70" s="111"/>
      <c r="K70" s="111"/>
      <c r="L70" s="111"/>
      <c r="M70" s="111"/>
      <c r="N70" s="205" t="s">
        <v>404</v>
      </c>
      <c r="O70" s="205"/>
      <c r="P70" s="205"/>
      <c r="Q70" s="205"/>
      <c r="R70" s="205"/>
      <c r="S70" s="205"/>
      <c r="T70" s="205"/>
      <c r="U70" s="205"/>
      <c r="V70" s="205"/>
      <c r="W70" s="205"/>
      <c r="X70" s="205"/>
      <c r="Y70" s="205"/>
      <c r="Z70" s="205"/>
      <c r="AA70" s="205"/>
      <c r="AB70" s="205"/>
      <c r="AC70" s="205"/>
      <c r="AD70" s="205"/>
      <c r="AE70" s="205"/>
      <c r="AF70" s="205"/>
      <c r="AG70" s="205"/>
      <c r="AH70" s="205"/>
      <c r="AI70" s="205"/>
      <c r="AJ70" s="205"/>
      <c r="AK70" s="206"/>
    </row>
    <row r="71" spans="2:37" ht="15" thickTop="1" x14ac:dyDescent="0.35">
      <c r="B71" s="199" t="s">
        <v>48</v>
      </c>
      <c r="C71" s="137" t="s">
        <v>179</v>
      </c>
      <c r="D71" s="137" t="s">
        <v>80</v>
      </c>
      <c r="E71" s="92"/>
      <c r="F71" s="172" t="s">
        <v>81</v>
      </c>
      <c r="G71" s="173"/>
      <c r="H71" s="174" t="s">
        <v>82</v>
      </c>
      <c r="I71" s="174"/>
      <c r="J71" s="174" t="s">
        <v>83</v>
      </c>
      <c r="K71" s="174"/>
      <c r="L71" s="174" t="s">
        <v>84</v>
      </c>
      <c r="M71" s="174"/>
      <c r="N71" s="174"/>
      <c r="O71" s="174"/>
      <c r="P71" s="174"/>
      <c r="Q71" s="174"/>
      <c r="R71" s="127" t="s">
        <v>85</v>
      </c>
      <c r="S71" s="127" t="s">
        <v>86</v>
      </c>
      <c r="T71" s="127" t="s">
        <v>87</v>
      </c>
      <c r="U71" s="127" t="s">
        <v>88</v>
      </c>
      <c r="V71" s="127" t="s">
        <v>89</v>
      </c>
      <c r="W71" s="127" t="s">
        <v>90</v>
      </c>
      <c r="X71" s="173" t="s">
        <v>91</v>
      </c>
      <c r="Y71" s="173"/>
      <c r="Z71" s="127" t="s">
        <v>92</v>
      </c>
      <c r="AA71" s="127" t="s">
        <v>93</v>
      </c>
      <c r="AB71" s="127" t="s">
        <v>94</v>
      </c>
      <c r="AC71" s="127" t="s">
        <v>95</v>
      </c>
      <c r="AD71" s="127" t="s">
        <v>96</v>
      </c>
      <c r="AE71" s="127" t="s">
        <v>97</v>
      </c>
      <c r="AF71" s="173" t="s">
        <v>98</v>
      </c>
      <c r="AG71" s="173"/>
      <c r="AH71" s="174" t="s">
        <v>99</v>
      </c>
      <c r="AI71" s="174"/>
      <c r="AJ71" s="174"/>
      <c r="AK71" s="54" t="s">
        <v>100</v>
      </c>
    </row>
    <row r="72" spans="2:37" x14ac:dyDescent="0.35">
      <c r="B72" s="200"/>
      <c r="C72" s="91" t="s">
        <v>180</v>
      </c>
      <c r="D72" s="91" t="s">
        <v>51</v>
      </c>
      <c r="E72" s="92"/>
      <c r="F72" s="74"/>
      <c r="G72" s="66"/>
      <c r="H72" s="66"/>
      <c r="I72" s="66"/>
      <c r="J72" s="66"/>
      <c r="K72" s="66"/>
      <c r="L72" s="66"/>
      <c r="M72" s="66"/>
      <c r="N72" s="66"/>
      <c r="O72" s="66"/>
      <c r="P72" s="66"/>
      <c r="Q72" s="66"/>
      <c r="R72" s="37" t="s">
        <v>52</v>
      </c>
      <c r="S72" s="37" t="s">
        <v>53</v>
      </c>
      <c r="T72" s="160" t="s">
        <v>57</v>
      </c>
      <c r="U72" s="160"/>
      <c r="V72" s="160"/>
      <c r="W72" s="160"/>
      <c r="X72" s="160"/>
      <c r="Y72" s="160"/>
      <c r="Z72" s="162" t="s">
        <v>56</v>
      </c>
      <c r="AA72" s="162"/>
      <c r="AB72" s="162"/>
      <c r="AC72" s="162"/>
      <c r="AD72" s="162"/>
      <c r="AE72" s="162" t="s">
        <v>55</v>
      </c>
      <c r="AF72" s="162"/>
      <c r="AG72" s="162"/>
      <c r="AH72" s="162"/>
      <c r="AI72" s="162"/>
      <c r="AJ72" s="37" t="s">
        <v>58</v>
      </c>
      <c r="AK72" s="38" t="s">
        <v>54</v>
      </c>
    </row>
    <row r="73" spans="2:37" x14ac:dyDescent="0.35">
      <c r="B73" s="200"/>
      <c r="C73" s="91" t="s">
        <v>181</v>
      </c>
      <c r="D73" s="91" t="s">
        <v>50</v>
      </c>
      <c r="E73" s="92"/>
      <c r="F73" s="74"/>
      <c r="G73" s="66"/>
      <c r="H73" s="66"/>
      <c r="I73" s="66"/>
      <c r="J73" s="66"/>
      <c r="K73" s="66"/>
      <c r="L73" s="160" t="s">
        <v>50</v>
      </c>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1"/>
    </row>
    <row r="74" spans="2:37" x14ac:dyDescent="0.35">
      <c r="B74" s="200"/>
      <c r="C74" s="91" t="s">
        <v>182</v>
      </c>
      <c r="D74" s="91" t="s">
        <v>59</v>
      </c>
      <c r="E74" s="92"/>
      <c r="F74" s="74"/>
      <c r="G74" s="66"/>
      <c r="H74" s="66"/>
      <c r="I74" s="66"/>
      <c r="J74" s="66"/>
      <c r="K74" s="66"/>
      <c r="L74" s="66"/>
      <c r="M74" s="66"/>
      <c r="N74" s="66"/>
      <c r="O74" s="66"/>
      <c r="P74" s="66"/>
      <c r="Q74" s="66"/>
      <c r="R74" s="66"/>
      <c r="S74" s="66"/>
      <c r="T74" s="66"/>
      <c r="U74" s="66"/>
      <c r="V74" s="66"/>
      <c r="W74" s="66"/>
      <c r="X74" s="66"/>
      <c r="Y74" s="37" t="s">
        <v>60</v>
      </c>
      <c r="Z74" s="160" t="s">
        <v>61</v>
      </c>
      <c r="AA74" s="160"/>
      <c r="AB74" s="160"/>
      <c r="AC74" s="160"/>
      <c r="AD74" s="160"/>
      <c r="AE74" s="37" t="s">
        <v>62</v>
      </c>
      <c r="AF74" s="37" t="s">
        <v>63</v>
      </c>
      <c r="AG74" s="160" t="s">
        <v>64</v>
      </c>
      <c r="AH74" s="160"/>
      <c r="AI74" s="37" t="s">
        <v>65</v>
      </c>
      <c r="AJ74" s="37" t="s">
        <v>66</v>
      </c>
      <c r="AK74" s="38" t="s">
        <v>67</v>
      </c>
    </row>
    <row r="75" spans="2:37" x14ac:dyDescent="0.35">
      <c r="B75" s="200"/>
      <c r="C75" s="91" t="s">
        <v>183</v>
      </c>
      <c r="D75" s="91" t="s">
        <v>101</v>
      </c>
      <c r="E75" s="92"/>
      <c r="F75" s="74"/>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160" t="s">
        <v>102</v>
      </c>
      <c r="AH75" s="160"/>
      <c r="AI75" s="162" t="s">
        <v>103</v>
      </c>
      <c r="AJ75" s="162"/>
      <c r="AK75" s="38" t="s">
        <v>104</v>
      </c>
    </row>
    <row r="76" spans="2:37" x14ac:dyDescent="0.35">
      <c r="B76" s="200"/>
      <c r="C76" s="91" t="s">
        <v>184</v>
      </c>
      <c r="D76" s="91" t="s">
        <v>105</v>
      </c>
      <c r="E76" s="92"/>
      <c r="F76" s="39" t="s">
        <v>106</v>
      </c>
      <c r="G76" s="37" t="s">
        <v>441</v>
      </c>
      <c r="H76" s="37" t="s">
        <v>442</v>
      </c>
      <c r="I76" s="66"/>
      <c r="J76" s="66"/>
      <c r="K76" s="66"/>
      <c r="L76" s="66"/>
      <c r="M76" s="66"/>
      <c r="N76" s="66"/>
      <c r="O76" s="66"/>
      <c r="P76" s="66"/>
      <c r="Q76" s="66"/>
      <c r="R76" s="66"/>
      <c r="S76" s="66"/>
      <c r="T76" s="66"/>
      <c r="U76" s="66"/>
      <c r="V76" s="66"/>
      <c r="W76" s="66"/>
      <c r="X76" s="66"/>
      <c r="Y76" s="66"/>
      <c r="Z76" s="66"/>
      <c r="AA76" s="66"/>
      <c r="AB76" s="66"/>
      <c r="AC76" s="66"/>
      <c r="AD76" s="66"/>
      <c r="AE76" s="37" t="s">
        <v>443</v>
      </c>
      <c r="AF76" s="37" t="s">
        <v>444</v>
      </c>
      <c r="AG76" s="37" t="s">
        <v>107</v>
      </c>
      <c r="AH76" s="37" t="s">
        <v>108</v>
      </c>
      <c r="AI76" s="37" t="s">
        <v>109</v>
      </c>
      <c r="AJ76" s="37" t="s">
        <v>110</v>
      </c>
      <c r="AK76" s="38" t="s">
        <v>111</v>
      </c>
    </row>
    <row r="77" spans="2:37" x14ac:dyDescent="0.35">
      <c r="B77" s="200"/>
      <c r="C77" s="89" t="s">
        <v>185</v>
      </c>
      <c r="D77" s="89" t="s">
        <v>68</v>
      </c>
      <c r="E77" s="90"/>
      <c r="F77" s="203" t="s">
        <v>69</v>
      </c>
      <c r="G77" s="204"/>
      <c r="H77" s="204"/>
      <c r="I77" s="204"/>
      <c r="J77" s="204"/>
      <c r="K77" s="204"/>
      <c r="L77" s="204"/>
      <c r="M77" s="204"/>
      <c r="N77" s="204"/>
      <c r="O77" s="204"/>
      <c r="P77" s="204"/>
      <c r="Q77" s="204"/>
      <c r="R77" s="204"/>
      <c r="S77" s="204"/>
      <c r="T77" s="204"/>
      <c r="U77" s="204"/>
      <c r="V77" s="204"/>
      <c r="W77" s="204"/>
      <c r="X77" s="204"/>
      <c r="Y77" s="204"/>
      <c r="Z77" s="204"/>
      <c r="AA77" s="204"/>
      <c r="AB77" s="34" t="s">
        <v>70</v>
      </c>
      <c r="AC77" s="34" t="s">
        <v>71</v>
      </c>
      <c r="AD77" s="34" t="s">
        <v>72</v>
      </c>
      <c r="AE77" s="34" t="s">
        <v>73</v>
      </c>
      <c r="AF77" s="34" t="s">
        <v>74</v>
      </c>
      <c r="AG77" s="34" t="s">
        <v>75</v>
      </c>
      <c r="AH77" s="34" t="s">
        <v>76</v>
      </c>
      <c r="AI77" s="34" t="s">
        <v>77</v>
      </c>
      <c r="AJ77" s="34" t="s">
        <v>78</v>
      </c>
      <c r="AK77" s="35" t="s">
        <v>79</v>
      </c>
    </row>
    <row r="78" spans="2:37" x14ac:dyDescent="0.35">
      <c r="B78" s="200"/>
      <c r="C78" s="91" t="s">
        <v>186</v>
      </c>
      <c r="D78" s="91" t="s">
        <v>112</v>
      </c>
      <c r="E78" s="92"/>
      <c r="F78" s="74"/>
      <c r="G78" s="66"/>
      <c r="H78" s="160" t="s">
        <v>113</v>
      </c>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row>
    <row r="79" spans="2:37" x14ac:dyDescent="0.35">
      <c r="B79" s="200"/>
      <c r="C79" s="82" t="s">
        <v>187</v>
      </c>
      <c r="D79" s="82" t="s">
        <v>47</v>
      </c>
      <c r="E79" s="81"/>
      <c r="F79" s="70"/>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4"/>
    </row>
    <row r="80" spans="2:37" x14ac:dyDescent="0.35">
      <c r="B80" s="200"/>
      <c r="C80" s="82" t="s">
        <v>188</v>
      </c>
      <c r="D80" s="82" t="s">
        <v>47</v>
      </c>
      <c r="E80" s="81"/>
      <c r="F80" s="70"/>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4"/>
    </row>
    <row r="81" spans="2:37" x14ac:dyDescent="0.35">
      <c r="B81" s="200"/>
      <c r="C81" s="82" t="s">
        <v>189</v>
      </c>
      <c r="D81" s="82" t="s">
        <v>47</v>
      </c>
      <c r="E81" s="81"/>
      <c r="F81" s="70"/>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4"/>
    </row>
    <row r="82" spans="2:37" x14ac:dyDescent="0.35">
      <c r="B82" s="200"/>
      <c r="C82" s="82" t="s">
        <v>190</v>
      </c>
      <c r="D82" s="82" t="s">
        <v>47</v>
      </c>
      <c r="E82" s="81"/>
      <c r="F82" s="70"/>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4"/>
    </row>
    <row r="83" spans="2:37" x14ac:dyDescent="0.35">
      <c r="B83" s="200"/>
      <c r="C83" s="82" t="s">
        <v>191</v>
      </c>
      <c r="D83" s="82" t="s">
        <v>47</v>
      </c>
      <c r="E83" s="81"/>
      <c r="F83" s="70"/>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4"/>
    </row>
    <row r="84" spans="2:37" x14ac:dyDescent="0.35">
      <c r="B84" s="200"/>
      <c r="C84" s="82" t="s">
        <v>192</v>
      </c>
      <c r="D84" s="82" t="s">
        <v>47</v>
      </c>
      <c r="E84" s="81"/>
      <c r="F84" s="70"/>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4"/>
    </row>
    <row r="85" spans="2:37" x14ac:dyDescent="0.35">
      <c r="B85" s="200"/>
      <c r="C85" s="82" t="s">
        <v>193</v>
      </c>
      <c r="D85" s="82" t="s">
        <v>47</v>
      </c>
      <c r="E85" s="81"/>
      <c r="F85" s="70"/>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4"/>
    </row>
    <row r="86" spans="2:37" x14ac:dyDescent="0.35">
      <c r="B86" s="200"/>
      <c r="C86" s="82" t="s">
        <v>194</v>
      </c>
      <c r="D86" s="82" t="s">
        <v>47</v>
      </c>
      <c r="E86" s="81"/>
      <c r="F86" s="70"/>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4"/>
    </row>
    <row r="87" spans="2:37" x14ac:dyDescent="0.35">
      <c r="B87" s="200"/>
      <c r="C87" s="91" t="s">
        <v>195</v>
      </c>
      <c r="D87" s="91" t="s">
        <v>445</v>
      </c>
      <c r="E87" s="92"/>
      <c r="F87" s="74"/>
      <c r="G87" s="66"/>
      <c r="H87" s="66"/>
      <c r="I87" s="66"/>
      <c r="J87" s="66"/>
      <c r="K87" s="66"/>
      <c r="L87" s="66"/>
      <c r="M87" s="66"/>
      <c r="N87" s="66"/>
      <c r="O87" s="66"/>
      <c r="P87" s="66"/>
      <c r="Q87" s="66"/>
      <c r="R87" s="66"/>
      <c r="S87" s="66"/>
      <c r="T87" s="66"/>
      <c r="U87" s="66"/>
      <c r="V87" s="66"/>
      <c r="W87" s="66"/>
      <c r="X87" s="66"/>
      <c r="Y87" s="66"/>
      <c r="Z87" s="66"/>
      <c r="AA87" s="160" t="s">
        <v>446</v>
      </c>
      <c r="AB87" s="160"/>
      <c r="AC87" s="160"/>
      <c r="AD87" s="160"/>
      <c r="AE87" s="37" t="s">
        <v>447</v>
      </c>
      <c r="AF87" s="37" t="s">
        <v>448</v>
      </c>
      <c r="AG87" s="37" t="s">
        <v>449</v>
      </c>
      <c r="AH87" s="37" t="s">
        <v>450</v>
      </c>
      <c r="AI87" s="37" t="s">
        <v>451</v>
      </c>
      <c r="AJ87" s="37" t="s">
        <v>452</v>
      </c>
      <c r="AK87" s="38" t="s">
        <v>453</v>
      </c>
    </row>
    <row r="88" spans="2:37" x14ac:dyDescent="0.35">
      <c r="B88" s="200"/>
      <c r="C88" s="91" t="s">
        <v>196</v>
      </c>
      <c r="D88" s="91" t="s">
        <v>454</v>
      </c>
      <c r="E88" s="92"/>
      <c r="F88" s="74"/>
      <c r="G88" s="66"/>
      <c r="H88" s="66"/>
      <c r="I88" s="66"/>
      <c r="J88" s="66"/>
      <c r="K88" s="66"/>
      <c r="L88" s="66"/>
      <c r="M88" s="66"/>
      <c r="N88" s="66"/>
      <c r="O88" s="66"/>
      <c r="P88" s="66"/>
      <c r="Q88" s="66"/>
      <c r="R88" s="66"/>
      <c r="S88" s="66"/>
      <c r="T88" s="66"/>
      <c r="U88" s="66"/>
      <c r="V88" s="66"/>
      <c r="W88" s="66"/>
      <c r="X88" s="160" t="s">
        <v>455</v>
      </c>
      <c r="Y88" s="160"/>
      <c r="Z88" s="160"/>
      <c r="AA88" s="160"/>
      <c r="AB88" s="160"/>
      <c r="AC88" s="160"/>
      <c r="AD88" s="160"/>
      <c r="AE88" s="37" t="s">
        <v>456</v>
      </c>
      <c r="AF88" s="37" t="s">
        <v>457</v>
      </c>
      <c r="AG88" s="37" t="s">
        <v>458</v>
      </c>
      <c r="AH88" s="37" t="s">
        <v>459</v>
      </c>
      <c r="AI88" s="37" t="s">
        <v>460</v>
      </c>
      <c r="AJ88" s="37" t="s">
        <v>461</v>
      </c>
      <c r="AK88" s="38" t="s">
        <v>462</v>
      </c>
    </row>
    <row r="89" spans="2:37" x14ac:dyDescent="0.35">
      <c r="B89" s="200"/>
      <c r="C89" s="91" t="s">
        <v>197</v>
      </c>
      <c r="D89" s="91" t="s">
        <v>463</v>
      </c>
      <c r="E89" s="92"/>
      <c r="F89" s="74"/>
      <c r="G89" s="66"/>
      <c r="H89" s="66"/>
      <c r="I89" s="66"/>
      <c r="J89" s="66"/>
      <c r="K89" s="66"/>
      <c r="L89" s="66"/>
      <c r="M89" s="66"/>
      <c r="N89" s="66"/>
      <c r="O89" s="66"/>
      <c r="P89" s="66"/>
      <c r="Q89" s="66"/>
      <c r="R89" s="66"/>
      <c r="S89" s="66"/>
      <c r="T89" s="66"/>
      <c r="U89" s="66"/>
      <c r="V89" s="66"/>
      <c r="W89" s="66"/>
      <c r="X89" s="66"/>
      <c r="Y89" s="66"/>
      <c r="Z89" s="66"/>
      <c r="AA89" s="66"/>
      <c r="AB89" s="66"/>
      <c r="AC89" s="160" t="s">
        <v>464</v>
      </c>
      <c r="AD89" s="160"/>
      <c r="AE89" s="160"/>
      <c r="AF89" s="160"/>
      <c r="AG89" s="66"/>
      <c r="AH89" s="160" t="s">
        <v>465</v>
      </c>
      <c r="AI89" s="160"/>
      <c r="AJ89" s="160"/>
      <c r="AK89" s="161"/>
    </row>
    <row r="90" spans="2:37" x14ac:dyDescent="0.35">
      <c r="B90" s="200"/>
      <c r="C90" s="91" t="s">
        <v>198</v>
      </c>
      <c r="D90" s="91" t="s">
        <v>466</v>
      </c>
      <c r="E90" s="92"/>
      <c r="F90" s="74"/>
      <c r="G90" s="66"/>
      <c r="H90" s="66"/>
      <c r="I90" s="66"/>
      <c r="J90" s="66"/>
      <c r="K90" s="66"/>
      <c r="L90" s="66"/>
      <c r="M90" s="66"/>
      <c r="N90" s="66"/>
      <c r="O90" s="66"/>
      <c r="P90" s="66"/>
      <c r="Q90" s="66"/>
      <c r="R90" s="66"/>
      <c r="S90" s="160" t="s">
        <v>467</v>
      </c>
      <c r="T90" s="160"/>
      <c r="U90" s="160"/>
      <c r="V90" s="160"/>
      <c r="W90" s="160"/>
      <c r="X90" s="160"/>
      <c r="Y90" s="160"/>
      <c r="Z90" s="160"/>
      <c r="AA90" s="160"/>
      <c r="AB90" s="160"/>
      <c r="AC90" s="160"/>
      <c r="AD90" s="160"/>
      <c r="AE90" s="160"/>
      <c r="AF90" s="160"/>
      <c r="AG90" s="160"/>
      <c r="AH90" s="160"/>
      <c r="AI90" s="160"/>
      <c r="AJ90" s="160"/>
      <c r="AK90" s="161"/>
    </row>
    <row r="91" spans="2:37" x14ac:dyDescent="0.35">
      <c r="B91" s="200"/>
      <c r="C91" s="91" t="s">
        <v>199</v>
      </c>
      <c r="D91" s="91" t="s">
        <v>468</v>
      </c>
      <c r="E91" s="92"/>
      <c r="F91" s="159" t="s">
        <v>469</v>
      </c>
      <c r="G91" s="160"/>
      <c r="H91" s="160"/>
      <c r="I91" s="160"/>
      <c r="J91" s="160"/>
      <c r="K91" s="160"/>
      <c r="L91" s="160"/>
      <c r="M91" s="160"/>
      <c r="N91" s="160"/>
      <c r="O91" s="160"/>
      <c r="P91" s="160"/>
      <c r="Q91" s="160"/>
      <c r="R91" s="160"/>
      <c r="S91" s="160"/>
      <c r="T91" s="160"/>
      <c r="U91" s="160"/>
      <c r="V91" s="162" t="s">
        <v>470</v>
      </c>
      <c r="W91" s="162"/>
      <c r="X91" s="162"/>
      <c r="Y91" s="162"/>
      <c r="Z91" s="162"/>
      <c r="AA91" s="162"/>
      <c r="AB91" s="162"/>
      <c r="AC91" s="162"/>
      <c r="AD91" s="162"/>
      <c r="AE91" s="162"/>
      <c r="AF91" s="162"/>
      <c r="AG91" s="162"/>
      <c r="AH91" s="162"/>
      <c r="AI91" s="162"/>
      <c r="AJ91" s="162"/>
      <c r="AK91" s="163"/>
    </row>
    <row r="92" spans="2:37" x14ac:dyDescent="0.35">
      <c r="B92" s="200"/>
      <c r="C92" s="91" t="s">
        <v>200</v>
      </c>
      <c r="D92" s="91" t="s">
        <v>471</v>
      </c>
      <c r="E92" s="92"/>
      <c r="F92" s="159" t="s">
        <v>472</v>
      </c>
      <c r="G92" s="160"/>
      <c r="H92" s="160"/>
      <c r="I92" s="160"/>
      <c r="J92" s="160"/>
      <c r="K92" s="160"/>
      <c r="L92" s="160"/>
      <c r="M92" s="160"/>
      <c r="N92" s="160"/>
      <c r="O92" s="160"/>
      <c r="P92" s="160"/>
      <c r="Q92" s="160"/>
      <c r="R92" s="160"/>
      <c r="S92" s="160"/>
      <c r="T92" s="160"/>
      <c r="U92" s="160"/>
      <c r="V92" s="162" t="s">
        <v>473</v>
      </c>
      <c r="W92" s="162"/>
      <c r="X92" s="162"/>
      <c r="Y92" s="162"/>
      <c r="Z92" s="162"/>
      <c r="AA92" s="162"/>
      <c r="AB92" s="162"/>
      <c r="AC92" s="162"/>
      <c r="AD92" s="162"/>
      <c r="AE92" s="162"/>
      <c r="AF92" s="162"/>
      <c r="AG92" s="162"/>
      <c r="AH92" s="162"/>
      <c r="AI92" s="162"/>
      <c r="AJ92" s="162"/>
      <c r="AK92" s="163"/>
    </row>
    <row r="93" spans="2:37" x14ac:dyDescent="0.35">
      <c r="B93" s="200"/>
      <c r="C93" s="91" t="s">
        <v>201</v>
      </c>
      <c r="D93" s="91" t="s">
        <v>474</v>
      </c>
      <c r="E93" s="92"/>
      <c r="F93" s="159" t="s">
        <v>475</v>
      </c>
      <c r="G93" s="160"/>
      <c r="H93" s="160"/>
      <c r="I93" s="160"/>
      <c r="J93" s="160"/>
      <c r="K93" s="160"/>
      <c r="L93" s="160"/>
      <c r="M93" s="160"/>
      <c r="N93" s="160"/>
      <c r="O93" s="160"/>
      <c r="P93" s="160"/>
      <c r="Q93" s="160"/>
      <c r="R93" s="160"/>
      <c r="S93" s="160"/>
      <c r="T93" s="160"/>
      <c r="U93" s="160"/>
      <c r="V93" s="162" t="s">
        <v>476</v>
      </c>
      <c r="W93" s="162"/>
      <c r="X93" s="162"/>
      <c r="Y93" s="162"/>
      <c r="Z93" s="162"/>
      <c r="AA93" s="162"/>
      <c r="AB93" s="162"/>
      <c r="AC93" s="162"/>
      <c r="AD93" s="162"/>
      <c r="AE93" s="162"/>
      <c r="AF93" s="162"/>
      <c r="AG93" s="162"/>
      <c r="AH93" s="162"/>
      <c r="AI93" s="162"/>
      <c r="AJ93" s="162"/>
      <c r="AK93" s="163"/>
    </row>
    <row r="94" spans="2:37" x14ac:dyDescent="0.35">
      <c r="B94" s="200"/>
      <c r="C94" s="91" t="s">
        <v>202</v>
      </c>
      <c r="D94" s="91" t="s">
        <v>477</v>
      </c>
      <c r="E94" s="92"/>
      <c r="F94" s="159" t="s">
        <v>478</v>
      </c>
      <c r="G94" s="160"/>
      <c r="H94" s="160"/>
      <c r="I94" s="160"/>
      <c r="J94" s="160"/>
      <c r="K94" s="160"/>
      <c r="L94" s="160"/>
      <c r="M94" s="160"/>
      <c r="N94" s="160"/>
      <c r="O94" s="160"/>
      <c r="P94" s="160"/>
      <c r="Q94" s="160"/>
      <c r="R94" s="160"/>
      <c r="S94" s="160"/>
      <c r="T94" s="160"/>
      <c r="U94" s="160"/>
      <c r="V94" s="162" t="s">
        <v>479</v>
      </c>
      <c r="W94" s="162"/>
      <c r="X94" s="162"/>
      <c r="Y94" s="162"/>
      <c r="Z94" s="162"/>
      <c r="AA94" s="162"/>
      <c r="AB94" s="162"/>
      <c r="AC94" s="162"/>
      <c r="AD94" s="162"/>
      <c r="AE94" s="162"/>
      <c r="AF94" s="162"/>
      <c r="AG94" s="162"/>
      <c r="AH94" s="162"/>
      <c r="AI94" s="162"/>
      <c r="AJ94" s="162"/>
      <c r="AK94" s="163"/>
    </row>
    <row r="95" spans="2:37" x14ac:dyDescent="0.35">
      <c r="B95" s="200"/>
      <c r="C95" s="91" t="s">
        <v>203</v>
      </c>
      <c r="D95" s="91" t="s">
        <v>480</v>
      </c>
      <c r="E95" s="92"/>
      <c r="F95" s="74"/>
      <c r="G95" s="66"/>
      <c r="H95" s="66"/>
      <c r="I95" s="66"/>
      <c r="J95" s="66"/>
      <c r="K95" s="66"/>
      <c r="L95" s="66"/>
      <c r="M95" s="66"/>
      <c r="N95" s="66"/>
      <c r="O95" s="66"/>
      <c r="P95" s="66"/>
      <c r="Q95" s="66"/>
      <c r="R95" s="66"/>
      <c r="S95" s="66"/>
      <c r="T95" s="66"/>
      <c r="U95" s="66"/>
      <c r="V95" s="160" t="s">
        <v>481</v>
      </c>
      <c r="W95" s="160"/>
      <c r="X95" s="160"/>
      <c r="Y95" s="160"/>
      <c r="Z95" s="160"/>
      <c r="AA95" s="160"/>
      <c r="AB95" s="160"/>
      <c r="AC95" s="160"/>
      <c r="AD95" s="162" t="s">
        <v>482</v>
      </c>
      <c r="AE95" s="162"/>
      <c r="AF95" s="162"/>
      <c r="AG95" s="162"/>
      <c r="AH95" s="162"/>
      <c r="AI95" s="162"/>
      <c r="AJ95" s="162"/>
      <c r="AK95" s="163"/>
    </row>
    <row r="96" spans="2:37" x14ac:dyDescent="0.35">
      <c r="B96" s="200"/>
      <c r="C96" s="91" t="s">
        <v>204</v>
      </c>
      <c r="D96" s="91" t="s">
        <v>483</v>
      </c>
      <c r="E96" s="92"/>
      <c r="F96" s="74"/>
      <c r="G96" s="66"/>
      <c r="H96" s="66"/>
      <c r="I96" s="66"/>
      <c r="J96" s="66"/>
      <c r="K96" s="66"/>
      <c r="L96" s="66"/>
      <c r="M96" s="66"/>
      <c r="N96" s="66"/>
      <c r="O96" s="66"/>
      <c r="P96" s="66"/>
      <c r="Q96" s="66"/>
      <c r="R96" s="66"/>
      <c r="S96" s="160" t="s">
        <v>484</v>
      </c>
      <c r="T96" s="160"/>
      <c r="U96" s="160"/>
      <c r="V96" s="160"/>
      <c r="W96" s="160"/>
      <c r="X96" s="160"/>
      <c r="Y96" s="160"/>
      <c r="Z96" s="162" t="s">
        <v>485</v>
      </c>
      <c r="AA96" s="162"/>
      <c r="AB96" s="162"/>
      <c r="AC96" s="162"/>
      <c r="AD96" s="162"/>
      <c r="AE96" s="162"/>
      <c r="AF96" s="162"/>
      <c r="AG96" s="162"/>
      <c r="AH96" s="162"/>
      <c r="AI96" s="162"/>
      <c r="AJ96" s="162"/>
      <c r="AK96" s="163"/>
    </row>
    <row r="97" spans="2:37" x14ac:dyDescent="0.35">
      <c r="B97" s="200"/>
      <c r="C97" s="91" t="s">
        <v>205</v>
      </c>
      <c r="D97" s="91" t="s">
        <v>486</v>
      </c>
      <c r="E97" s="92"/>
      <c r="F97" s="159" t="s">
        <v>487</v>
      </c>
      <c r="G97" s="160"/>
      <c r="H97" s="160"/>
      <c r="I97" s="160"/>
      <c r="J97" s="160"/>
      <c r="K97" s="160"/>
      <c r="L97" s="160"/>
      <c r="M97" s="160"/>
      <c r="N97" s="160"/>
      <c r="O97" s="160"/>
      <c r="P97" s="160"/>
      <c r="Q97" s="160"/>
      <c r="R97" s="160"/>
      <c r="S97" s="160"/>
      <c r="T97" s="160"/>
      <c r="U97" s="160"/>
      <c r="V97" s="162" t="s">
        <v>488</v>
      </c>
      <c r="W97" s="162"/>
      <c r="X97" s="162"/>
      <c r="Y97" s="162"/>
      <c r="Z97" s="162"/>
      <c r="AA97" s="162"/>
      <c r="AB97" s="162"/>
      <c r="AC97" s="162"/>
      <c r="AD97" s="162"/>
      <c r="AE97" s="162"/>
      <c r="AF97" s="162"/>
      <c r="AG97" s="162"/>
      <c r="AH97" s="162"/>
      <c r="AI97" s="162"/>
      <c r="AJ97" s="162"/>
      <c r="AK97" s="163"/>
    </row>
    <row r="98" spans="2:37" x14ac:dyDescent="0.35">
      <c r="B98" s="200"/>
      <c r="C98" s="91" t="s">
        <v>206</v>
      </c>
      <c r="D98" s="91" t="s">
        <v>489</v>
      </c>
      <c r="E98" s="92"/>
      <c r="F98" s="159" t="s">
        <v>490</v>
      </c>
      <c r="G98" s="160"/>
      <c r="H98" s="160"/>
      <c r="I98" s="160"/>
      <c r="J98" s="160"/>
      <c r="K98" s="160"/>
      <c r="L98" s="160"/>
      <c r="M98" s="160"/>
      <c r="N98" s="160"/>
      <c r="O98" s="160"/>
      <c r="P98" s="160"/>
      <c r="Q98" s="160"/>
      <c r="R98" s="160"/>
      <c r="S98" s="160"/>
      <c r="T98" s="160"/>
      <c r="U98" s="160"/>
      <c r="V98" s="162" t="s">
        <v>491</v>
      </c>
      <c r="W98" s="162"/>
      <c r="X98" s="162"/>
      <c r="Y98" s="162"/>
      <c r="Z98" s="162"/>
      <c r="AA98" s="162"/>
      <c r="AB98" s="162"/>
      <c r="AC98" s="162"/>
      <c r="AD98" s="162"/>
      <c r="AE98" s="162"/>
      <c r="AF98" s="162"/>
      <c r="AG98" s="162"/>
      <c r="AH98" s="162"/>
      <c r="AI98" s="162"/>
      <c r="AJ98" s="162"/>
      <c r="AK98" s="163"/>
    </row>
    <row r="99" spans="2:37" x14ac:dyDescent="0.35">
      <c r="B99" s="200"/>
      <c r="C99" s="91" t="s">
        <v>207</v>
      </c>
      <c r="D99" s="91" t="s">
        <v>492</v>
      </c>
      <c r="E99" s="92"/>
      <c r="F99" s="159" t="s">
        <v>493</v>
      </c>
      <c r="G99" s="160"/>
      <c r="H99" s="160"/>
      <c r="I99" s="160"/>
      <c r="J99" s="160"/>
      <c r="K99" s="160"/>
      <c r="L99" s="160"/>
      <c r="M99" s="160"/>
      <c r="N99" s="160"/>
      <c r="O99" s="160"/>
      <c r="P99" s="160"/>
      <c r="Q99" s="160"/>
      <c r="R99" s="160"/>
      <c r="S99" s="160"/>
      <c r="T99" s="160"/>
      <c r="U99" s="160"/>
      <c r="V99" s="162" t="s">
        <v>494</v>
      </c>
      <c r="W99" s="162"/>
      <c r="X99" s="162"/>
      <c r="Y99" s="162"/>
      <c r="Z99" s="162"/>
      <c r="AA99" s="162"/>
      <c r="AB99" s="162"/>
      <c r="AC99" s="162"/>
      <c r="AD99" s="162"/>
      <c r="AE99" s="162"/>
      <c r="AF99" s="162"/>
      <c r="AG99" s="162"/>
      <c r="AH99" s="162"/>
      <c r="AI99" s="162"/>
      <c r="AJ99" s="162"/>
      <c r="AK99" s="163"/>
    </row>
    <row r="100" spans="2:37" x14ac:dyDescent="0.35">
      <c r="B100" s="200"/>
      <c r="C100" s="91" t="s">
        <v>208</v>
      </c>
      <c r="D100" s="91" t="s">
        <v>495</v>
      </c>
      <c r="E100" s="92"/>
      <c r="F100" s="159" t="s">
        <v>496</v>
      </c>
      <c r="G100" s="160"/>
      <c r="H100" s="160"/>
      <c r="I100" s="160"/>
      <c r="J100" s="160"/>
      <c r="K100" s="160"/>
      <c r="L100" s="160"/>
      <c r="M100" s="160"/>
      <c r="N100" s="160"/>
      <c r="O100" s="160"/>
      <c r="P100" s="160"/>
      <c r="Q100" s="160"/>
      <c r="R100" s="160"/>
      <c r="S100" s="160"/>
      <c r="T100" s="160"/>
      <c r="U100" s="160"/>
      <c r="V100" s="162" t="s">
        <v>497</v>
      </c>
      <c r="W100" s="162"/>
      <c r="X100" s="162"/>
      <c r="Y100" s="162"/>
      <c r="Z100" s="162"/>
      <c r="AA100" s="162"/>
      <c r="AB100" s="162"/>
      <c r="AC100" s="162"/>
      <c r="AD100" s="162"/>
      <c r="AE100" s="162"/>
      <c r="AF100" s="162"/>
      <c r="AG100" s="162"/>
      <c r="AH100" s="162"/>
      <c r="AI100" s="162"/>
      <c r="AJ100" s="162"/>
      <c r="AK100" s="163"/>
    </row>
    <row r="101" spans="2:37" x14ac:dyDescent="0.35">
      <c r="B101" s="200"/>
      <c r="C101" s="91" t="s">
        <v>209</v>
      </c>
      <c r="D101" s="91" t="s">
        <v>498</v>
      </c>
      <c r="E101" s="92"/>
      <c r="F101" s="159" t="s">
        <v>499</v>
      </c>
      <c r="G101" s="160"/>
      <c r="H101" s="160"/>
      <c r="I101" s="160"/>
      <c r="J101" s="160"/>
      <c r="K101" s="160"/>
      <c r="L101" s="160"/>
      <c r="M101" s="160"/>
      <c r="N101" s="160"/>
      <c r="O101" s="160"/>
      <c r="P101" s="160"/>
      <c r="Q101" s="160"/>
      <c r="R101" s="160"/>
      <c r="S101" s="160"/>
      <c r="T101" s="160"/>
      <c r="U101" s="160"/>
      <c r="V101" s="162" t="s">
        <v>500</v>
      </c>
      <c r="W101" s="162"/>
      <c r="X101" s="162"/>
      <c r="Y101" s="162"/>
      <c r="Z101" s="162"/>
      <c r="AA101" s="162"/>
      <c r="AB101" s="162"/>
      <c r="AC101" s="162"/>
      <c r="AD101" s="162"/>
      <c r="AE101" s="162"/>
      <c r="AF101" s="162"/>
      <c r="AG101" s="162"/>
      <c r="AH101" s="162"/>
      <c r="AI101" s="162"/>
      <c r="AJ101" s="162"/>
      <c r="AK101" s="163"/>
    </row>
    <row r="102" spans="2:37" x14ac:dyDescent="0.35">
      <c r="B102" s="200"/>
      <c r="C102" s="91" t="s">
        <v>210</v>
      </c>
      <c r="D102" s="91" t="s">
        <v>501</v>
      </c>
      <c r="E102" s="92"/>
      <c r="F102" s="74"/>
      <c r="G102" s="66"/>
      <c r="H102" s="66"/>
      <c r="I102" s="66"/>
      <c r="J102" s="66"/>
      <c r="K102" s="66"/>
      <c r="L102" s="66"/>
      <c r="M102" s="66"/>
      <c r="N102" s="66"/>
      <c r="O102" s="66"/>
      <c r="P102" s="66"/>
      <c r="Q102" s="66"/>
      <c r="R102" s="66"/>
      <c r="S102" s="66"/>
      <c r="T102" s="66"/>
      <c r="U102" s="37" t="s">
        <v>502</v>
      </c>
      <c r="V102" s="160" t="s">
        <v>503</v>
      </c>
      <c r="W102" s="160"/>
      <c r="X102" s="160"/>
      <c r="Y102" s="160"/>
      <c r="Z102" s="160"/>
      <c r="AA102" s="160"/>
      <c r="AB102" s="160"/>
      <c r="AC102" s="160"/>
      <c r="AD102" s="160"/>
      <c r="AE102" s="160"/>
      <c r="AF102" s="160"/>
      <c r="AG102" s="160"/>
      <c r="AH102" s="160"/>
      <c r="AI102" s="160"/>
      <c r="AJ102" s="160"/>
      <c r="AK102" s="161"/>
    </row>
    <row r="103" spans="2:37" x14ac:dyDescent="0.35">
      <c r="B103" s="200"/>
      <c r="C103" s="91" t="s">
        <v>211</v>
      </c>
      <c r="D103" s="91" t="s">
        <v>504</v>
      </c>
      <c r="E103" s="92"/>
      <c r="F103" s="159" t="s">
        <v>505</v>
      </c>
      <c r="G103" s="160"/>
      <c r="H103" s="160"/>
      <c r="I103" s="160"/>
      <c r="J103" s="160"/>
      <c r="K103" s="160"/>
      <c r="L103" s="160"/>
      <c r="M103" s="160"/>
      <c r="N103" s="160"/>
      <c r="O103" s="160"/>
      <c r="P103" s="160"/>
      <c r="Q103" s="160"/>
      <c r="R103" s="160"/>
      <c r="S103" s="160"/>
      <c r="T103" s="160"/>
      <c r="U103" s="160"/>
      <c r="V103" s="162" t="s">
        <v>506</v>
      </c>
      <c r="W103" s="162"/>
      <c r="X103" s="162"/>
      <c r="Y103" s="162"/>
      <c r="Z103" s="162"/>
      <c r="AA103" s="162"/>
      <c r="AB103" s="162"/>
      <c r="AC103" s="162"/>
      <c r="AD103" s="162"/>
      <c r="AE103" s="162"/>
      <c r="AF103" s="162"/>
      <c r="AG103" s="162"/>
      <c r="AH103" s="162"/>
      <c r="AI103" s="162"/>
      <c r="AJ103" s="162"/>
      <c r="AK103" s="163"/>
    </row>
    <row r="104" spans="2:37" x14ac:dyDescent="0.35">
      <c r="B104" s="200"/>
      <c r="C104" s="91" t="s">
        <v>212</v>
      </c>
      <c r="D104" s="91" t="s">
        <v>507</v>
      </c>
      <c r="E104" s="92"/>
      <c r="F104" s="159" t="s">
        <v>508</v>
      </c>
      <c r="G104" s="160"/>
      <c r="H104" s="160"/>
      <c r="I104" s="160"/>
      <c r="J104" s="160"/>
      <c r="K104" s="160"/>
      <c r="L104" s="160"/>
      <c r="M104" s="160"/>
      <c r="N104" s="160"/>
      <c r="O104" s="160"/>
      <c r="P104" s="160"/>
      <c r="Q104" s="160"/>
      <c r="R104" s="160"/>
      <c r="S104" s="160"/>
      <c r="T104" s="160"/>
      <c r="U104" s="160"/>
      <c r="V104" s="66"/>
      <c r="W104" s="66"/>
      <c r="X104" s="66"/>
      <c r="Y104" s="66"/>
      <c r="Z104" s="66"/>
      <c r="AA104" s="66"/>
      <c r="AB104" s="66"/>
      <c r="AC104" s="66"/>
      <c r="AD104" s="66"/>
      <c r="AE104" s="66"/>
      <c r="AF104" s="66"/>
      <c r="AG104" s="66"/>
      <c r="AH104" s="66"/>
      <c r="AI104" s="66"/>
      <c r="AJ104" s="66"/>
      <c r="AK104" s="6"/>
    </row>
    <row r="105" spans="2:37" x14ac:dyDescent="0.35">
      <c r="B105" s="200"/>
      <c r="C105" s="91" t="s">
        <v>213</v>
      </c>
      <c r="D105" s="91" t="s">
        <v>509</v>
      </c>
      <c r="E105" s="92"/>
      <c r="F105" s="74"/>
      <c r="G105" s="66"/>
      <c r="H105" s="66"/>
      <c r="I105" s="66"/>
      <c r="J105" s="66"/>
      <c r="K105" s="66"/>
      <c r="L105" s="66"/>
      <c r="M105" s="66"/>
      <c r="N105" s="66"/>
      <c r="O105" s="66"/>
      <c r="P105" s="66"/>
      <c r="Q105" s="66"/>
      <c r="R105" s="66"/>
      <c r="S105" s="66"/>
      <c r="T105" s="160" t="s">
        <v>510</v>
      </c>
      <c r="U105" s="160"/>
      <c r="V105" s="160"/>
      <c r="W105" s="160"/>
      <c r="X105" s="160"/>
      <c r="Y105" s="160"/>
      <c r="Z105" s="160"/>
      <c r="AA105" s="160"/>
      <c r="AB105" s="160"/>
      <c r="AC105" s="160"/>
      <c r="AD105" s="160"/>
      <c r="AE105" s="160"/>
      <c r="AF105" s="160"/>
      <c r="AG105" s="160"/>
      <c r="AH105" s="160"/>
      <c r="AI105" s="160"/>
      <c r="AJ105" s="160"/>
      <c r="AK105" s="161"/>
    </row>
    <row r="106" spans="2:37" x14ac:dyDescent="0.35">
      <c r="B106" s="200"/>
      <c r="C106" s="91" t="s">
        <v>214</v>
      </c>
      <c r="D106" s="91" t="s">
        <v>511</v>
      </c>
      <c r="E106" s="92"/>
      <c r="F106" s="159" t="s">
        <v>512</v>
      </c>
      <c r="G106" s="160"/>
      <c r="H106" s="160"/>
      <c r="I106" s="160"/>
      <c r="J106" s="160"/>
      <c r="K106" s="160"/>
      <c r="L106" s="160"/>
      <c r="M106" s="160"/>
      <c r="N106" s="160"/>
      <c r="O106" s="160"/>
      <c r="P106" s="160"/>
      <c r="Q106" s="160"/>
      <c r="R106" s="160"/>
      <c r="S106" s="160"/>
      <c r="T106" s="160"/>
      <c r="U106" s="160"/>
      <c r="V106" s="162" t="s">
        <v>513</v>
      </c>
      <c r="W106" s="162"/>
      <c r="X106" s="162"/>
      <c r="Y106" s="162"/>
      <c r="Z106" s="162"/>
      <c r="AA106" s="162"/>
      <c r="AB106" s="162"/>
      <c r="AC106" s="162"/>
      <c r="AD106" s="162"/>
      <c r="AE106" s="162"/>
      <c r="AF106" s="162"/>
      <c r="AG106" s="162"/>
      <c r="AH106" s="162"/>
      <c r="AI106" s="162"/>
      <c r="AJ106" s="162"/>
      <c r="AK106" s="163"/>
    </row>
    <row r="107" spans="2:37" x14ac:dyDescent="0.35">
      <c r="B107" s="200"/>
      <c r="C107" s="88" t="s">
        <v>215</v>
      </c>
      <c r="D107" s="88" t="s">
        <v>514</v>
      </c>
      <c r="E107" s="87"/>
      <c r="F107" s="73"/>
      <c r="G107" s="65"/>
      <c r="H107" s="164" t="s">
        <v>114</v>
      </c>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5"/>
    </row>
    <row r="108" spans="2:37" x14ac:dyDescent="0.35">
      <c r="B108" s="200"/>
      <c r="C108" s="88" t="s">
        <v>216</v>
      </c>
      <c r="D108" s="88" t="s">
        <v>515</v>
      </c>
      <c r="E108" s="87"/>
      <c r="F108" s="166" t="s">
        <v>516</v>
      </c>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7" t="s">
        <v>517</v>
      </c>
      <c r="AJ108" s="167"/>
      <c r="AK108" s="168"/>
    </row>
    <row r="109" spans="2:37" x14ac:dyDescent="0.35">
      <c r="B109" s="200"/>
      <c r="C109" s="91" t="s">
        <v>217</v>
      </c>
      <c r="D109" s="91" t="s">
        <v>518</v>
      </c>
      <c r="E109" s="92"/>
      <c r="F109" s="159" t="s">
        <v>519</v>
      </c>
      <c r="G109" s="160"/>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1"/>
    </row>
    <row r="110" spans="2:37" x14ac:dyDescent="0.35">
      <c r="B110" s="200"/>
      <c r="C110" s="91" t="s">
        <v>218</v>
      </c>
      <c r="D110" s="91" t="s">
        <v>520</v>
      </c>
      <c r="E110" s="92"/>
      <c r="F110" s="159" t="s">
        <v>521</v>
      </c>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1"/>
    </row>
    <row r="111" spans="2:37" x14ac:dyDescent="0.35">
      <c r="B111" s="200"/>
      <c r="C111" s="91" t="s">
        <v>219</v>
      </c>
      <c r="D111" s="91" t="s">
        <v>522</v>
      </c>
      <c r="E111" s="92"/>
      <c r="F111" s="74"/>
      <c r="G111" s="66"/>
      <c r="H111" s="66"/>
      <c r="I111" s="66"/>
      <c r="J111" s="66"/>
      <c r="K111" s="66"/>
      <c r="L111" s="66"/>
      <c r="M111" s="66"/>
      <c r="N111" s="66"/>
      <c r="O111" s="66"/>
      <c r="P111" s="66"/>
      <c r="Q111" s="66"/>
      <c r="R111" s="66"/>
      <c r="S111" s="66"/>
      <c r="T111" s="66"/>
      <c r="U111" s="66"/>
      <c r="V111" s="160" t="s">
        <v>523</v>
      </c>
      <c r="W111" s="160"/>
      <c r="X111" s="160"/>
      <c r="Y111" s="160"/>
      <c r="Z111" s="160"/>
      <c r="AA111" s="160"/>
      <c r="AB111" s="160"/>
      <c r="AC111" s="160"/>
      <c r="AD111" s="160"/>
      <c r="AE111" s="160"/>
      <c r="AF111" s="160"/>
      <c r="AG111" s="160"/>
      <c r="AH111" s="160"/>
      <c r="AI111" s="160"/>
      <c r="AJ111" s="160"/>
      <c r="AK111" s="161"/>
    </row>
    <row r="112" spans="2:37" x14ac:dyDescent="0.35">
      <c r="B112" s="200"/>
      <c r="C112" s="91" t="s">
        <v>220</v>
      </c>
      <c r="D112" s="91" t="s">
        <v>524</v>
      </c>
      <c r="E112" s="92"/>
      <c r="F112" s="74"/>
      <c r="G112" s="66"/>
      <c r="H112" s="66"/>
      <c r="I112" s="66"/>
      <c r="J112" s="66"/>
      <c r="K112" s="66"/>
      <c r="L112" s="66"/>
      <c r="M112" s="66"/>
      <c r="N112" s="66"/>
      <c r="O112" s="66"/>
      <c r="P112" s="66"/>
      <c r="Q112" s="66"/>
      <c r="R112" s="66"/>
      <c r="S112" s="66"/>
      <c r="T112" s="66"/>
      <c r="U112" s="37" t="s">
        <v>525</v>
      </c>
      <c r="V112" s="160" t="s">
        <v>526</v>
      </c>
      <c r="W112" s="160"/>
      <c r="X112" s="160"/>
      <c r="Y112" s="160"/>
      <c r="Z112" s="160"/>
      <c r="AA112" s="160"/>
      <c r="AB112" s="160"/>
      <c r="AC112" s="160"/>
      <c r="AD112" s="160"/>
      <c r="AE112" s="160"/>
      <c r="AF112" s="160"/>
      <c r="AG112" s="160"/>
      <c r="AH112" s="160"/>
      <c r="AI112" s="160"/>
      <c r="AJ112" s="160"/>
      <c r="AK112" s="161"/>
    </row>
    <row r="113" spans="2:37" x14ac:dyDescent="0.35">
      <c r="B113" s="200"/>
      <c r="C113" s="82" t="s">
        <v>221</v>
      </c>
      <c r="D113" s="82" t="s">
        <v>47</v>
      </c>
      <c r="E113" s="81"/>
      <c r="F113" s="70"/>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4"/>
    </row>
    <row r="114" spans="2:37" x14ac:dyDescent="0.35">
      <c r="B114" s="200"/>
      <c r="C114" s="82" t="s">
        <v>222</v>
      </c>
      <c r="D114" s="82" t="s">
        <v>47</v>
      </c>
      <c r="E114" s="81"/>
      <c r="F114" s="70"/>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4"/>
    </row>
    <row r="115" spans="2:37" x14ac:dyDescent="0.35">
      <c r="B115" s="200"/>
      <c r="C115" s="82" t="s">
        <v>223</v>
      </c>
      <c r="D115" s="82" t="s">
        <v>47</v>
      </c>
      <c r="E115" s="81"/>
      <c r="F115" s="70"/>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4"/>
    </row>
    <row r="116" spans="2:37" x14ac:dyDescent="0.35">
      <c r="B116" s="200"/>
      <c r="C116" s="82" t="s">
        <v>224</v>
      </c>
      <c r="D116" s="82" t="s">
        <v>47</v>
      </c>
      <c r="E116" s="81"/>
      <c r="F116" s="70"/>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4"/>
    </row>
    <row r="117" spans="2:37" x14ac:dyDescent="0.35">
      <c r="B117" s="200"/>
      <c r="C117" s="82" t="s">
        <v>225</v>
      </c>
      <c r="D117" s="82" t="s">
        <v>47</v>
      </c>
      <c r="E117" s="81"/>
      <c r="F117" s="70"/>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4"/>
    </row>
    <row r="118" spans="2:37" x14ac:dyDescent="0.35">
      <c r="B118" s="200"/>
      <c r="C118" s="82" t="s">
        <v>226</v>
      </c>
      <c r="D118" s="82" t="s">
        <v>47</v>
      </c>
      <c r="E118" s="81"/>
      <c r="F118" s="70"/>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4"/>
    </row>
    <row r="119" spans="2:37" x14ac:dyDescent="0.35">
      <c r="B119" s="200"/>
      <c r="C119" s="88" t="s">
        <v>227</v>
      </c>
      <c r="D119" s="88" t="s">
        <v>527</v>
      </c>
      <c r="E119" s="87"/>
      <c r="F119" s="134" t="s">
        <v>49</v>
      </c>
      <c r="G119" s="164" t="s">
        <v>528</v>
      </c>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5"/>
    </row>
    <row r="120" spans="2:37" x14ac:dyDescent="0.35">
      <c r="B120" s="200"/>
      <c r="C120" s="88" t="s">
        <v>228</v>
      </c>
      <c r="D120" s="88" t="s">
        <v>529</v>
      </c>
      <c r="E120" s="87"/>
      <c r="F120" s="73"/>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164" t="s">
        <v>530</v>
      </c>
      <c r="AE120" s="164"/>
      <c r="AF120" s="164"/>
      <c r="AG120" s="164"/>
      <c r="AH120" s="164"/>
      <c r="AI120" s="164"/>
      <c r="AJ120" s="164"/>
      <c r="AK120" s="165"/>
    </row>
    <row r="121" spans="2:37" x14ac:dyDescent="0.35">
      <c r="B121" s="200"/>
      <c r="C121" s="88" t="s">
        <v>229</v>
      </c>
      <c r="D121" s="88" t="s">
        <v>531</v>
      </c>
      <c r="E121" s="87"/>
      <c r="F121" s="73"/>
      <c r="G121" s="65"/>
      <c r="H121" s="164" t="s">
        <v>532</v>
      </c>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5"/>
    </row>
    <row r="122" spans="2:37" x14ac:dyDescent="0.35">
      <c r="B122" s="200"/>
      <c r="C122" s="82" t="s">
        <v>230</v>
      </c>
      <c r="D122" s="82" t="s">
        <v>47</v>
      </c>
      <c r="E122" s="81"/>
      <c r="F122" s="70"/>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4"/>
    </row>
    <row r="123" spans="2:37" x14ac:dyDescent="0.35">
      <c r="B123" s="200"/>
      <c r="C123" s="82" t="s">
        <v>231</v>
      </c>
      <c r="D123" s="82" t="s">
        <v>47</v>
      </c>
      <c r="E123" s="81"/>
      <c r="F123" s="70"/>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4"/>
    </row>
    <row r="124" spans="2:37" x14ac:dyDescent="0.35">
      <c r="B124" s="200"/>
      <c r="C124" s="82" t="s">
        <v>232</v>
      </c>
      <c r="D124" s="82" t="s">
        <v>47</v>
      </c>
      <c r="E124" s="81"/>
      <c r="F124" s="70"/>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4"/>
    </row>
    <row r="125" spans="2:37" x14ac:dyDescent="0.35">
      <c r="B125" s="200"/>
      <c r="C125" s="82" t="s">
        <v>233</v>
      </c>
      <c r="D125" s="82" t="s">
        <v>47</v>
      </c>
      <c r="E125" s="81"/>
      <c r="F125" s="70"/>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4"/>
    </row>
    <row r="126" spans="2:37" x14ac:dyDescent="0.35">
      <c r="B126" s="200"/>
      <c r="C126" s="82" t="s">
        <v>234</v>
      </c>
      <c r="D126" s="82" t="s">
        <v>47</v>
      </c>
      <c r="E126" s="81"/>
      <c r="F126" s="70"/>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4"/>
    </row>
    <row r="127" spans="2:37" x14ac:dyDescent="0.35">
      <c r="B127" s="200"/>
      <c r="C127" s="82" t="s">
        <v>235</v>
      </c>
      <c r="D127" s="82" t="s">
        <v>47</v>
      </c>
      <c r="E127" s="81"/>
      <c r="F127" s="70"/>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4"/>
    </row>
    <row r="128" spans="2:37" x14ac:dyDescent="0.35">
      <c r="B128" s="200"/>
      <c r="C128" s="82" t="s">
        <v>236</v>
      </c>
      <c r="D128" s="82" t="s">
        <v>47</v>
      </c>
      <c r="E128" s="81"/>
      <c r="F128" s="70"/>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4"/>
    </row>
    <row r="129" spans="2:37" x14ac:dyDescent="0.35">
      <c r="B129" s="200"/>
      <c r="C129" s="82" t="s">
        <v>237</v>
      </c>
      <c r="D129" s="82" t="s">
        <v>47</v>
      </c>
      <c r="E129" s="81"/>
      <c r="F129" s="70"/>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4"/>
    </row>
    <row r="130" spans="2:37" x14ac:dyDescent="0.35">
      <c r="B130" s="200"/>
      <c r="C130" s="82" t="s">
        <v>238</v>
      </c>
      <c r="D130" s="82" t="s">
        <v>47</v>
      </c>
      <c r="E130" s="81"/>
      <c r="F130" s="70"/>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4"/>
    </row>
    <row r="131" spans="2:37" x14ac:dyDescent="0.35">
      <c r="B131" s="200"/>
      <c r="C131" s="82" t="s">
        <v>239</v>
      </c>
      <c r="D131" s="82" t="s">
        <v>47</v>
      </c>
      <c r="E131" s="81"/>
      <c r="F131" s="70"/>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4"/>
    </row>
    <row r="132" spans="2:37" x14ac:dyDescent="0.35">
      <c r="B132" s="200"/>
      <c r="C132" s="82" t="s">
        <v>240</v>
      </c>
      <c r="D132" s="82" t="s">
        <v>47</v>
      </c>
      <c r="E132" s="81"/>
      <c r="F132" s="70"/>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4"/>
    </row>
    <row r="133" spans="2:37" x14ac:dyDescent="0.35">
      <c r="B133" s="200"/>
      <c r="C133" s="82" t="s">
        <v>241</v>
      </c>
      <c r="D133" s="82" t="s">
        <v>47</v>
      </c>
      <c r="E133" s="81"/>
      <c r="F133" s="70"/>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4"/>
    </row>
    <row r="134" spans="2:37" ht="15" thickBot="1" x14ac:dyDescent="0.4">
      <c r="B134" s="201"/>
      <c r="C134" s="93" t="s">
        <v>242</v>
      </c>
      <c r="D134" s="93" t="s">
        <v>47</v>
      </c>
      <c r="E134" s="94"/>
      <c r="F134" s="10"/>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8"/>
    </row>
    <row r="135" spans="2:37" s="9" customFormat="1" ht="15" thickTop="1" x14ac:dyDescent="0.35"/>
    <row r="136" spans="2:37" s="9" customFormat="1" x14ac:dyDescent="0.35"/>
    <row r="137" spans="2:37" s="9" customFormat="1" x14ac:dyDescent="0.35"/>
    <row r="138" spans="2:37" s="9" customFormat="1" x14ac:dyDescent="0.35"/>
    <row r="139" spans="2:37" s="9" customFormat="1" x14ac:dyDescent="0.35"/>
    <row r="140" spans="2:37" s="9" customFormat="1" x14ac:dyDescent="0.35"/>
    <row r="141" spans="2:37" s="9" customFormat="1" x14ac:dyDescent="0.35"/>
    <row r="142" spans="2:37" s="9" customFormat="1" x14ac:dyDescent="0.35"/>
    <row r="143" spans="2:37" s="9" customFormat="1" x14ac:dyDescent="0.35"/>
    <row r="144" spans="2:37" s="9" customFormat="1" x14ac:dyDescent="0.35"/>
    <row r="145" s="9" customFormat="1" x14ac:dyDescent="0.35"/>
  </sheetData>
  <mergeCells count="275">
    <mergeCell ref="F9:K9"/>
    <mergeCell ref="F10:K10"/>
    <mergeCell ref="F7:K7"/>
    <mergeCell ref="F8:K8"/>
    <mergeCell ref="L7:O7"/>
    <mergeCell ref="P7:W7"/>
    <mergeCell ref="X7:AE7"/>
    <mergeCell ref="AF7:AK7"/>
    <mergeCell ref="L8:O8"/>
    <mergeCell ref="P8:AE8"/>
    <mergeCell ref="AF8:AK8"/>
    <mergeCell ref="L9:AA9"/>
    <mergeCell ref="AB9:AD9"/>
    <mergeCell ref="AE9:AK9"/>
    <mergeCell ref="L10:AK10"/>
    <mergeCell ref="F16:K16"/>
    <mergeCell ref="F17:K17"/>
    <mergeCell ref="F18:K18"/>
    <mergeCell ref="T18:AB18"/>
    <mergeCell ref="AC18:AK18"/>
    <mergeCell ref="F13:K13"/>
    <mergeCell ref="F14:K14"/>
    <mergeCell ref="F15:K15"/>
    <mergeCell ref="F11:K11"/>
    <mergeCell ref="F12:K12"/>
    <mergeCell ref="U11:V11"/>
    <mergeCell ref="W11:X11"/>
    <mergeCell ref="Y11:Z11"/>
    <mergeCell ref="AA11:AB11"/>
    <mergeCell ref="AD11:AG11"/>
    <mergeCell ref="AH11:AK11"/>
    <mergeCell ref="U12:AK12"/>
    <mergeCell ref="M14:N14"/>
    <mergeCell ref="O14:R14"/>
    <mergeCell ref="V14:X14"/>
    <mergeCell ref="AA14:AD14"/>
    <mergeCell ref="AH14:AI14"/>
    <mergeCell ref="AJ14:AK14"/>
    <mergeCell ref="S15:W15"/>
    <mergeCell ref="F19:K19"/>
    <mergeCell ref="F20:K20"/>
    <mergeCell ref="M19:S19"/>
    <mergeCell ref="T19:AB19"/>
    <mergeCell ref="AC19:AK19"/>
    <mergeCell ref="L20:U20"/>
    <mergeCell ref="V20:AE20"/>
    <mergeCell ref="AF20:AK20"/>
    <mergeCell ref="M21:W21"/>
    <mergeCell ref="X21:AK21"/>
    <mergeCell ref="F21:K21"/>
    <mergeCell ref="F22:K22"/>
    <mergeCell ref="N22:S22"/>
    <mergeCell ref="T22:Y22"/>
    <mergeCell ref="Z22:AE22"/>
    <mergeCell ref="AF22:AK22"/>
    <mergeCell ref="F25:K25"/>
    <mergeCell ref="F26:K26"/>
    <mergeCell ref="F23:K23"/>
    <mergeCell ref="F24:K24"/>
    <mergeCell ref="N23:O23"/>
    <mergeCell ref="P23:R23"/>
    <mergeCell ref="S23:T23"/>
    <mergeCell ref="AB23:AC23"/>
    <mergeCell ref="AD23:AE23"/>
    <mergeCell ref="AI23:AK23"/>
    <mergeCell ref="AC24:AD24"/>
    <mergeCell ref="AE24:AK24"/>
    <mergeCell ref="AC25:AE25"/>
    <mergeCell ref="F27:K27"/>
    <mergeCell ref="F28:K28"/>
    <mergeCell ref="F29:K29"/>
    <mergeCell ref="L27:X27"/>
    <mergeCell ref="Y27:AK27"/>
    <mergeCell ref="L28:X28"/>
    <mergeCell ref="Y28:AK28"/>
    <mergeCell ref="L29:X29"/>
    <mergeCell ref="Y29:AK29"/>
    <mergeCell ref="B7:B38"/>
    <mergeCell ref="F38:K38"/>
    <mergeCell ref="F36:K36"/>
    <mergeCell ref="AF37:AG37"/>
    <mergeCell ref="F37:K37"/>
    <mergeCell ref="F34:K34"/>
    <mergeCell ref="F35:K35"/>
    <mergeCell ref="P34:R34"/>
    <mergeCell ref="T34:V34"/>
    <mergeCell ref="Y34:AK34"/>
    <mergeCell ref="L35:Y35"/>
    <mergeCell ref="Z35:AB35"/>
    <mergeCell ref="AC35:AK35"/>
    <mergeCell ref="N36:Y36"/>
    <mergeCell ref="Z36:AK36"/>
    <mergeCell ref="S37:Z37"/>
    <mergeCell ref="AD37:AE37"/>
    <mergeCell ref="AH37:AK37"/>
    <mergeCell ref="F32:K32"/>
    <mergeCell ref="F33:K33"/>
    <mergeCell ref="F30:K30"/>
    <mergeCell ref="F31:K31"/>
    <mergeCell ref="L30:X30"/>
    <mergeCell ref="Y30:AK30"/>
    <mergeCell ref="L55:M55"/>
    <mergeCell ref="N55:O55"/>
    <mergeCell ref="P55:R55"/>
    <mergeCell ref="S55:T55"/>
    <mergeCell ref="AB55:AC55"/>
    <mergeCell ref="AD55:AE55"/>
    <mergeCell ref="AI55:AK55"/>
    <mergeCell ref="L48:O48"/>
    <mergeCell ref="R48:AA48"/>
    <mergeCell ref="AB48:AK48"/>
    <mergeCell ref="L49:Q49"/>
    <mergeCell ref="R49:AA49"/>
    <mergeCell ref="AB49:AK49"/>
    <mergeCell ref="T50:AB50"/>
    <mergeCell ref="AC50:AK50"/>
    <mergeCell ref="M51:S51"/>
    <mergeCell ref="T51:AB51"/>
    <mergeCell ref="AC51:AK51"/>
    <mergeCell ref="L52:U52"/>
    <mergeCell ref="V52:AE52"/>
    <mergeCell ref="AF52:AK52"/>
    <mergeCell ref="M53:W53"/>
    <mergeCell ref="X53:AK53"/>
    <mergeCell ref="L54:M54"/>
    <mergeCell ref="N54:S54"/>
    <mergeCell ref="T54:Y54"/>
    <mergeCell ref="Z54:AE54"/>
    <mergeCell ref="AF54:AK54"/>
    <mergeCell ref="B71:B134"/>
    <mergeCell ref="B5:B6"/>
    <mergeCell ref="C5:C6"/>
    <mergeCell ref="D5:D6"/>
    <mergeCell ref="E5:E6"/>
    <mergeCell ref="F5:AK5"/>
    <mergeCell ref="AG75:AH75"/>
    <mergeCell ref="AI75:AJ75"/>
    <mergeCell ref="F77:AA77"/>
    <mergeCell ref="H78:AK78"/>
    <mergeCell ref="AA87:AD87"/>
    <mergeCell ref="X88:AD88"/>
    <mergeCell ref="AC89:AF89"/>
    <mergeCell ref="AH89:AK89"/>
    <mergeCell ref="S90:AK90"/>
    <mergeCell ref="Z74:AD74"/>
    <mergeCell ref="AG74:AH74"/>
    <mergeCell ref="N70:AK70"/>
    <mergeCell ref="L73:AK73"/>
    <mergeCell ref="B39:B70"/>
    <mergeCell ref="Y15:AF15"/>
    <mergeCell ref="AH15:AI15"/>
    <mergeCell ref="R16:AA16"/>
    <mergeCell ref="AB16:AK16"/>
    <mergeCell ref="L17:Q17"/>
    <mergeCell ref="R17:AA17"/>
    <mergeCell ref="AB17:AK17"/>
    <mergeCell ref="N38:AK38"/>
    <mergeCell ref="U43:V43"/>
    <mergeCell ref="W43:X43"/>
    <mergeCell ref="Y43:Z43"/>
    <mergeCell ref="AH25:AK25"/>
    <mergeCell ref="L26:X26"/>
    <mergeCell ref="Y26:AK26"/>
    <mergeCell ref="AA43:AB43"/>
    <mergeCell ref="AD43:AG43"/>
    <mergeCell ref="AH43:AK43"/>
    <mergeCell ref="L31:X31"/>
    <mergeCell ref="Y31:AK31"/>
    <mergeCell ref="L32:X32"/>
    <mergeCell ref="Y32:AK32"/>
    <mergeCell ref="L33:X33"/>
    <mergeCell ref="Y33:AK33"/>
    <mergeCell ref="P1:R1"/>
    <mergeCell ref="P2:R2"/>
    <mergeCell ref="P3:R3"/>
    <mergeCell ref="J1:L1"/>
    <mergeCell ref="J2:L2"/>
    <mergeCell ref="J3:L3"/>
    <mergeCell ref="M1:O1"/>
    <mergeCell ref="M2:O2"/>
    <mergeCell ref="M3:O3"/>
    <mergeCell ref="U44:AK44"/>
    <mergeCell ref="L45:AK45"/>
    <mergeCell ref="M46:N46"/>
    <mergeCell ref="O46:R46"/>
    <mergeCell ref="V46:X46"/>
    <mergeCell ref="AA46:AD46"/>
    <mergeCell ref="AH46:AI46"/>
    <mergeCell ref="AJ46:AK46"/>
    <mergeCell ref="S47:W47"/>
    <mergeCell ref="Y47:AF47"/>
    <mergeCell ref="AH47:AI47"/>
    <mergeCell ref="AC56:AD56"/>
    <mergeCell ref="AE56:AK56"/>
    <mergeCell ref="AC57:AE57"/>
    <mergeCell ref="AH57:AK57"/>
    <mergeCell ref="L63:X63"/>
    <mergeCell ref="Y63:AK63"/>
    <mergeCell ref="L64:X64"/>
    <mergeCell ref="Y64:AK64"/>
    <mergeCell ref="L65:X65"/>
    <mergeCell ref="Y65:AK65"/>
    <mergeCell ref="Y59:AK59"/>
    <mergeCell ref="L60:X60"/>
    <mergeCell ref="Y60:AK60"/>
    <mergeCell ref="L61:X61"/>
    <mergeCell ref="Y61:AK61"/>
    <mergeCell ref="L62:X62"/>
    <mergeCell ref="Y62:AK62"/>
    <mergeCell ref="L58:X58"/>
    <mergeCell ref="Y58:AK58"/>
    <mergeCell ref="L59:X59"/>
    <mergeCell ref="L66:N66"/>
    <mergeCell ref="P66:R66"/>
    <mergeCell ref="T66:V66"/>
    <mergeCell ref="Y66:AK66"/>
    <mergeCell ref="L67:Y67"/>
    <mergeCell ref="Z67:AB67"/>
    <mergeCell ref="AC67:AK67"/>
    <mergeCell ref="N68:Y68"/>
    <mergeCell ref="Z68:AK68"/>
    <mergeCell ref="L69:Q69"/>
    <mergeCell ref="S69:Z69"/>
    <mergeCell ref="AD69:AE69"/>
    <mergeCell ref="AH69:AK69"/>
    <mergeCell ref="F71:G71"/>
    <mergeCell ref="H71:I71"/>
    <mergeCell ref="J71:K71"/>
    <mergeCell ref="L71:Q71"/>
    <mergeCell ref="X71:Y71"/>
    <mergeCell ref="AF71:AG71"/>
    <mergeCell ref="AH71:AJ71"/>
    <mergeCell ref="AF69:AG69"/>
    <mergeCell ref="T72:Y72"/>
    <mergeCell ref="Z72:AD72"/>
    <mergeCell ref="AE72:AI72"/>
    <mergeCell ref="F91:U91"/>
    <mergeCell ref="V91:AK91"/>
    <mergeCell ref="F92:U92"/>
    <mergeCell ref="V92:AK92"/>
    <mergeCell ref="F93:U93"/>
    <mergeCell ref="V93:AK93"/>
    <mergeCell ref="F94:U94"/>
    <mergeCell ref="V94:AK94"/>
    <mergeCell ref="V95:AC95"/>
    <mergeCell ref="AD95:AK95"/>
    <mergeCell ref="S96:Y96"/>
    <mergeCell ref="Z96:AK96"/>
    <mergeCell ref="F97:U97"/>
    <mergeCell ref="V97:AK97"/>
    <mergeCell ref="F98:U98"/>
    <mergeCell ref="V98:AK98"/>
    <mergeCell ref="F99:U99"/>
    <mergeCell ref="V99:AK99"/>
    <mergeCell ref="F100:U100"/>
    <mergeCell ref="V100:AK100"/>
    <mergeCell ref="F101:U101"/>
    <mergeCell ref="V101:AK101"/>
    <mergeCell ref="V102:AK102"/>
    <mergeCell ref="F103:U103"/>
    <mergeCell ref="V103:AK103"/>
    <mergeCell ref="F104:U104"/>
    <mergeCell ref="T105:AK105"/>
    <mergeCell ref="F106:U106"/>
    <mergeCell ref="V106:AK106"/>
    <mergeCell ref="H121:AK121"/>
    <mergeCell ref="H107:AK107"/>
    <mergeCell ref="F108:AH108"/>
    <mergeCell ref="AI108:AK108"/>
    <mergeCell ref="F109:AK109"/>
    <mergeCell ref="F110:AK110"/>
    <mergeCell ref="V111:AK111"/>
    <mergeCell ref="V112:AK112"/>
    <mergeCell ref="G119:AK119"/>
    <mergeCell ref="AD120:AK12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D0A15-DB71-49B1-95B9-A250A0279EAE}">
  <sheetPr codeName="Sheet8"/>
  <dimension ref="A4:AT273"/>
  <sheetViews>
    <sheetView showGridLines="0" tabSelected="1" topLeftCell="A13" workbookViewId="0">
      <selection activeCell="K126" sqref="K126"/>
    </sheetView>
  </sheetViews>
  <sheetFormatPr defaultRowHeight="14.5" x14ac:dyDescent="0.35"/>
  <cols>
    <col min="1" max="1" width="8.90625" style="9"/>
    <col min="2" max="2" width="8.453125" bestFit="1" customWidth="1"/>
    <col min="3" max="3" width="11.1796875" bestFit="1" customWidth="1"/>
    <col min="4" max="4" width="1.81640625" customWidth="1"/>
    <col min="5" max="36" width="7.36328125" customWidth="1"/>
    <col min="37" max="46" width="8.90625" style="9"/>
  </cols>
  <sheetData>
    <row r="4" spans="2:36" s="9" customFormat="1" ht="15" thickBot="1" x14ac:dyDescent="0.4"/>
    <row r="5" spans="2:36" ht="16.5" thickTop="1" thickBot="1" x14ac:dyDescent="0.4">
      <c r="B5" s="202" t="s">
        <v>244</v>
      </c>
      <c r="C5" s="202" t="s">
        <v>245</v>
      </c>
      <c r="D5" s="202"/>
      <c r="E5" s="202" t="s">
        <v>246</v>
      </c>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row>
    <row r="6" spans="2:36" ht="16.5" thickTop="1" thickBot="1" x14ac:dyDescent="0.4">
      <c r="B6" s="268"/>
      <c r="C6" s="268"/>
      <c r="D6" s="268"/>
      <c r="E6" s="96">
        <v>31</v>
      </c>
      <c r="F6" s="96">
        <v>30</v>
      </c>
      <c r="G6" s="96">
        <v>29</v>
      </c>
      <c r="H6" s="96">
        <v>28</v>
      </c>
      <c r="I6" s="96">
        <v>27</v>
      </c>
      <c r="J6" s="96">
        <v>26</v>
      </c>
      <c r="K6" s="96">
        <v>25</v>
      </c>
      <c r="L6" s="96">
        <v>24</v>
      </c>
      <c r="M6" s="96">
        <v>23</v>
      </c>
      <c r="N6" s="96">
        <v>22</v>
      </c>
      <c r="O6" s="96">
        <v>21</v>
      </c>
      <c r="P6" s="96">
        <v>20</v>
      </c>
      <c r="Q6" s="96">
        <v>19</v>
      </c>
      <c r="R6" s="96">
        <v>18</v>
      </c>
      <c r="S6" s="96">
        <v>17</v>
      </c>
      <c r="T6" s="96">
        <v>16</v>
      </c>
      <c r="U6" s="96">
        <v>15</v>
      </c>
      <c r="V6" s="96">
        <v>14</v>
      </c>
      <c r="W6" s="96">
        <v>13</v>
      </c>
      <c r="X6" s="96">
        <v>12</v>
      </c>
      <c r="Y6" s="96">
        <v>11</v>
      </c>
      <c r="Z6" s="96">
        <v>10</v>
      </c>
      <c r="AA6" s="96">
        <v>9</v>
      </c>
      <c r="AB6" s="96">
        <v>8</v>
      </c>
      <c r="AC6" s="96">
        <v>7</v>
      </c>
      <c r="AD6" s="96">
        <v>6</v>
      </c>
      <c r="AE6" s="96">
        <v>5</v>
      </c>
      <c r="AF6" s="96">
        <v>4</v>
      </c>
      <c r="AG6" s="96">
        <v>3</v>
      </c>
      <c r="AH6" s="96">
        <v>2</v>
      </c>
      <c r="AI6" s="96">
        <v>1</v>
      </c>
      <c r="AJ6" s="96">
        <v>0</v>
      </c>
    </row>
    <row r="7" spans="2:36" ht="15" customHeight="1" thickTop="1" x14ac:dyDescent="0.35">
      <c r="B7" s="246" t="s">
        <v>115</v>
      </c>
      <c r="C7" s="248" t="s">
        <v>256</v>
      </c>
      <c r="D7" s="97"/>
      <c r="E7" s="265" t="s">
        <v>3</v>
      </c>
      <c r="F7" s="266"/>
      <c r="G7" s="266"/>
      <c r="H7" s="266"/>
      <c r="I7" s="266"/>
      <c r="J7" s="266"/>
      <c r="K7" s="266" t="s">
        <v>257</v>
      </c>
      <c r="L7" s="266"/>
      <c r="M7" s="266"/>
      <c r="N7" s="266"/>
      <c r="O7" s="266" t="s">
        <v>5</v>
      </c>
      <c r="P7" s="266"/>
      <c r="Q7" s="266"/>
      <c r="R7" s="266"/>
      <c r="S7" s="266"/>
      <c r="T7" s="266"/>
      <c r="U7" s="266"/>
      <c r="V7" s="266"/>
      <c r="W7" s="266" t="s">
        <v>4</v>
      </c>
      <c r="X7" s="266"/>
      <c r="Y7" s="266"/>
      <c r="Z7" s="266"/>
      <c r="AA7" s="266"/>
      <c r="AB7" s="266"/>
      <c r="AC7" s="266"/>
      <c r="AD7" s="266"/>
      <c r="AE7" s="266" t="s">
        <v>258</v>
      </c>
      <c r="AF7" s="266"/>
      <c r="AG7" s="266"/>
      <c r="AH7" s="266"/>
      <c r="AI7" s="266"/>
      <c r="AJ7" s="267"/>
    </row>
    <row r="8" spans="2:36" ht="15" customHeight="1" thickBot="1" x14ac:dyDescent="0.4">
      <c r="B8" s="247"/>
      <c r="C8" s="249"/>
      <c r="D8" s="98"/>
      <c r="E8" s="16">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6">
        <v>0</v>
      </c>
    </row>
    <row r="9" spans="2:36" ht="15" thickTop="1" x14ac:dyDescent="0.35">
      <c r="B9" s="246" t="s">
        <v>116</v>
      </c>
      <c r="C9" s="248" t="s">
        <v>259</v>
      </c>
      <c r="D9" s="97"/>
      <c r="E9" s="265" t="s">
        <v>6</v>
      </c>
      <c r="F9" s="266"/>
      <c r="G9" s="266"/>
      <c r="H9" s="266"/>
      <c r="I9" s="266"/>
      <c r="J9" s="266"/>
      <c r="K9" s="266" t="s">
        <v>260</v>
      </c>
      <c r="L9" s="266"/>
      <c r="M9" s="266"/>
      <c r="N9" s="266"/>
      <c r="O9" s="266" t="s">
        <v>1</v>
      </c>
      <c r="P9" s="266"/>
      <c r="Q9" s="266"/>
      <c r="R9" s="266"/>
      <c r="S9" s="266"/>
      <c r="T9" s="266"/>
      <c r="U9" s="266"/>
      <c r="V9" s="266"/>
      <c r="W9" s="266"/>
      <c r="X9" s="266"/>
      <c r="Y9" s="266"/>
      <c r="Z9" s="266"/>
      <c r="AA9" s="266"/>
      <c r="AB9" s="266"/>
      <c r="AC9" s="266"/>
      <c r="AD9" s="266"/>
      <c r="AE9" s="266" t="s">
        <v>2</v>
      </c>
      <c r="AF9" s="266"/>
      <c r="AG9" s="266"/>
      <c r="AH9" s="266"/>
      <c r="AI9" s="266"/>
      <c r="AJ9" s="267"/>
    </row>
    <row r="10" spans="2:36" ht="15" thickBot="1" x14ac:dyDescent="0.4">
      <c r="B10" s="247"/>
      <c r="C10" s="249"/>
      <c r="D10" s="98"/>
      <c r="E10" s="16">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6">
        <v>0</v>
      </c>
    </row>
    <row r="11" spans="2:36" ht="15" thickTop="1" x14ac:dyDescent="0.35">
      <c r="B11" s="246" t="s">
        <v>117</v>
      </c>
      <c r="C11" s="248" t="s">
        <v>261</v>
      </c>
      <c r="D11" s="97"/>
      <c r="E11" s="265" t="s">
        <v>7</v>
      </c>
      <c r="F11" s="266"/>
      <c r="G11" s="266"/>
      <c r="H11" s="266"/>
      <c r="I11" s="266"/>
      <c r="J11" s="266"/>
      <c r="K11" s="266" t="s">
        <v>262</v>
      </c>
      <c r="L11" s="266"/>
      <c r="M11" s="266"/>
      <c r="N11" s="266"/>
      <c r="O11" s="266"/>
      <c r="P11" s="266"/>
      <c r="Q11" s="266"/>
      <c r="R11" s="266"/>
      <c r="S11" s="266"/>
      <c r="T11" s="266"/>
      <c r="U11" s="266"/>
      <c r="V11" s="266"/>
      <c r="W11" s="266"/>
      <c r="X11" s="266"/>
      <c r="Y11" s="266"/>
      <c r="Z11" s="266"/>
      <c r="AA11" s="266" t="s">
        <v>263</v>
      </c>
      <c r="AB11" s="266"/>
      <c r="AC11" s="266"/>
      <c r="AD11" s="266" t="s">
        <v>264</v>
      </c>
      <c r="AE11" s="266"/>
      <c r="AF11" s="266"/>
      <c r="AG11" s="266"/>
      <c r="AH11" s="266"/>
      <c r="AI11" s="266"/>
      <c r="AJ11" s="267"/>
    </row>
    <row r="12" spans="2:36" ht="15" thickBot="1" x14ac:dyDescent="0.4">
      <c r="B12" s="247"/>
      <c r="C12" s="249"/>
      <c r="D12" s="98"/>
      <c r="E12" s="16">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6">
        <v>0</v>
      </c>
    </row>
    <row r="13" spans="2:36" ht="15" thickTop="1" x14ac:dyDescent="0.35">
      <c r="B13" s="246" t="s">
        <v>118</v>
      </c>
      <c r="C13" s="248" t="s">
        <v>265</v>
      </c>
      <c r="D13" s="97"/>
      <c r="E13" s="265" t="s">
        <v>8</v>
      </c>
      <c r="F13" s="266"/>
      <c r="G13" s="266"/>
      <c r="H13" s="266"/>
      <c r="I13" s="266"/>
      <c r="J13" s="266"/>
      <c r="K13" s="266" t="s">
        <v>266</v>
      </c>
      <c r="L13" s="266"/>
      <c r="M13" s="266"/>
      <c r="N13" s="266"/>
      <c r="O13" s="266"/>
      <c r="P13" s="266"/>
      <c r="Q13" s="266"/>
      <c r="R13" s="266"/>
      <c r="S13" s="266"/>
      <c r="T13" s="266"/>
      <c r="U13" s="266"/>
      <c r="V13" s="266"/>
      <c r="W13" s="266"/>
      <c r="X13" s="266"/>
      <c r="Y13" s="266"/>
      <c r="Z13" s="266"/>
      <c r="AA13" s="266"/>
      <c r="AB13" s="266"/>
      <c r="AC13" s="266"/>
      <c r="AD13" s="266"/>
      <c r="AE13" s="266"/>
      <c r="AF13" s="266"/>
      <c r="AG13" s="266"/>
      <c r="AH13" s="266"/>
      <c r="AI13" s="266"/>
      <c r="AJ13" s="267"/>
    </row>
    <row r="14" spans="2:36" ht="15" thickBot="1" x14ac:dyDescent="0.4">
      <c r="B14" s="247"/>
      <c r="C14" s="249"/>
      <c r="D14" s="98"/>
      <c r="E14" s="16">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6">
        <v>0</v>
      </c>
    </row>
    <row r="15" spans="2:36" ht="15" thickTop="1" x14ac:dyDescent="0.35">
      <c r="B15" s="246" t="s">
        <v>119</v>
      </c>
      <c r="C15" s="248" t="s">
        <v>267</v>
      </c>
      <c r="D15" s="97"/>
      <c r="E15" s="265" t="s">
        <v>9</v>
      </c>
      <c r="F15" s="266"/>
      <c r="G15" s="266"/>
      <c r="H15" s="266"/>
      <c r="I15" s="266"/>
      <c r="J15" s="266"/>
      <c r="K15" s="60"/>
      <c r="L15" s="60"/>
      <c r="M15" s="60"/>
      <c r="N15" s="60"/>
      <c r="O15" s="60"/>
      <c r="P15" s="60"/>
      <c r="Q15" s="60"/>
      <c r="R15" s="60"/>
      <c r="S15" s="50" t="s">
        <v>42</v>
      </c>
      <c r="T15" s="266" t="s">
        <v>268</v>
      </c>
      <c r="U15" s="266"/>
      <c r="V15" s="266" t="s">
        <v>269</v>
      </c>
      <c r="W15" s="266"/>
      <c r="X15" s="266" t="s">
        <v>270</v>
      </c>
      <c r="Y15" s="266"/>
      <c r="Z15" s="266" t="s">
        <v>271</v>
      </c>
      <c r="AA15" s="266"/>
      <c r="AB15" s="50" t="s">
        <v>272</v>
      </c>
      <c r="AC15" s="266" t="s">
        <v>273</v>
      </c>
      <c r="AD15" s="266"/>
      <c r="AE15" s="266"/>
      <c r="AF15" s="266"/>
      <c r="AG15" s="266" t="s">
        <v>44</v>
      </c>
      <c r="AH15" s="266"/>
      <c r="AI15" s="266"/>
      <c r="AJ15" s="267"/>
    </row>
    <row r="16" spans="2:36" ht="15" thickBot="1" x14ac:dyDescent="0.4">
      <c r="B16" s="247"/>
      <c r="C16" s="249"/>
      <c r="D16" s="98"/>
      <c r="E16" s="16">
        <v>0</v>
      </c>
      <c r="F16" s="45">
        <v>0</v>
      </c>
      <c r="G16" s="45">
        <v>0</v>
      </c>
      <c r="H16" s="45">
        <v>0</v>
      </c>
      <c r="I16" s="45">
        <v>0</v>
      </c>
      <c r="J16" s="45">
        <v>0</v>
      </c>
      <c r="K16" s="59">
        <v>0</v>
      </c>
      <c r="L16" s="59">
        <v>0</v>
      </c>
      <c r="M16" s="59">
        <v>0</v>
      </c>
      <c r="N16" s="59">
        <v>0</v>
      </c>
      <c r="O16" s="59">
        <v>0</v>
      </c>
      <c r="P16" s="59">
        <v>0</v>
      </c>
      <c r="Q16" s="59">
        <v>0</v>
      </c>
      <c r="R16" s="59">
        <v>0</v>
      </c>
      <c r="S16" s="45">
        <v>0</v>
      </c>
      <c r="T16" s="45">
        <v>0</v>
      </c>
      <c r="U16" s="45">
        <v>0</v>
      </c>
      <c r="V16" s="45">
        <v>0</v>
      </c>
      <c r="W16" s="45">
        <v>0</v>
      </c>
      <c r="X16" s="45">
        <v>0</v>
      </c>
      <c r="Y16" s="45">
        <v>0</v>
      </c>
      <c r="Z16" s="45">
        <v>0</v>
      </c>
      <c r="AA16" s="45">
        <v>0</v>
      </c>
      <c r="AB16" s="45">
        <v>0</v>
      </c>
      <c r="AC16" s="45">
        <v>0</v>
      </c>
      <c r="AD16" s="45">
        <v>0</v>
      </c>
      <c r="AE16" s="45">
        <v>1</v>
      </c>
      <c r="AF16" s="45">
        <v>0</v>
      </c>
      <c r="AG16" s="45">
        <v>0</v>
      </c>
      <c r="AH16" s="45">
        <v>0</v>
      </c>
      <c r="AI16" s="45">
        <v>1</v>
      </c>
      <c r="AJ16" s="46">
        <v>0</v>
      </c>
    </row>
    <row r="17" spans="2:36" ht="15" thickTop="1" x14ac:dyDescent="0.35">
      <c r="B17" s="246" t="s">
        <v>120</v>
      </c>
      <c r="C17" s="248" t="s">
        <v>274</v>
      </c>
      <c r="D17" s="97"/>
      <c r="E17" s="265" t="s">
        <v>10</v>
      </c>
      <c r="F17" s="266"/>
      <c r="G17" s="266"/>
      <c r="H17" s="266"/>
      <c r="I17" s="266"/>
      <c r="J17" s="266"/>
      <c r="K17" s="60"/>
      <c r="L17" s="60"/>
      <c r="M17" s="60"/>
      <c r="N17" s="60"/>
      <c r="O17" s="60"/>
      <c r="P17" s="60"/>
      <c r="Q17" s="60"/>
      <c r="R17" s="60"/>
      <c r="S17" s="60"/>
      <c r="T17" s="266" t="s">
        <v>275</v>
      </c>
      <c r="U17" s="266"/>
      <c r="V17" s="266"/>
      <c r="W17" s="266"/>
      <c r="X17" s="266"/>
      <c r="Y17" s="266"/>
      <c r="Z17" s="266"/>
      <c r="AA17" s="266"/>
      <c r="AB17" s="266"/>
      <c r="AC17" s="266"/>
      <c r="AD17" s="266"/>
      <c r="AE17" s="266"/>
      <c r="AF17" s="266"/>
      <c r="AG17" s="266"/>
      <c r="AH17" s="266"/>
      <c r="AI17" s="266"/>
      <c r="AJ17" s="267"/>
    </row>
    <row r="18" spans="2:36" ht="15" thickBot="1" x14ac:dyDescent="0.4">
      <c r="B18" s="247"/>
      <c r="C18" s="249"/>
      <c r="D18" s="98"/>
      <c r="E18" s="16">
        <v>0</v>
      </c>
      <c r="F18" s="45">
        <v>0</v>
      </c>
      <c r="G18" s="45">
        <v>0</v>
      </c>
      <c r="H18" s="45">
        <v>0</v>
      </c>
      <c r="I18" s="45">
        <v>0</v>
      </c>
      <c r="J18" s="45">
        <v>0</v>
      </c>
      <c r="K18" s="59">
        <v>0</v>
      </c>
      <c r="L18" s="59">
        <v>0</v>
      </c>
      <c r="M18" s="59">
        <v>0</v>
      </c>
      <c r="N18" s="59">
        <v>0</v>
      </c>
      <c r="O18" s="59">
        <v>0</v>
      </c>
      <c r="P18" s="59">
        <v>0</v>
      </c>
      <c r="Q18" s="59">
        <v>0</v>
      </c>
      <c r="R18" s="59">
        <v>0</v>
      </c>
      <c r="S18" s="59">
        <v>0</v>
      </c>
      <c r="T18" s="45">
        <v>0</v>
      </c>
      <c r="U18" s="45">
        <v>0</v>
      </c>
      <c r="V18" s="45">
        <v>0</v>
      </c>
      <c r="W18" s="45">
        <v>0</v>
      </c>
      <c r="X18" s="45">
        <v>0</v>
      </c>
      <c r="Y18" s="45">
        <v>0</v>
      </c>
      <c r="Z18" s="45">
        <v>0</v>
      </c>
      <c r="AA18" s="45">
        <v>0</v>
      </c>
      <c r="AB18" s="45">
        <v>0</v>
      </c>
      <c r="AC18" s="45">
        <v>0</v>
      </c>
      <c r="AD18" s="45">
        <v>0</v>
      </c>
      <c r="AE18" s="45">
        <v>0</v>
      </c>
      <c r="AF18" s="45">
        <v>0</v>
      </c>
      <c r="AG18" s="45">
        <v>0</v>
      </c>
      <c r="AH18" s="45">
        <v>0</v>
      </c>
      <c r="AI18" s="45">
        <v>0</v>
      </c>
      <c r="AJ18" s="46">
        <v>0</v>
      </c>
    </row>
    <row r="19" spans="2:36" ht="15" thickTop="1" x14ac:dyDescent="0.35">
      <c r="B19" s="246" t="s">
        <v>121</v>
      </c>
      <c r="C19" s="248" t="s">
        <v>276</v>
      </c>
      <c r="D19" s="97"/>
      <c r="E19" s="265" t="s">
        <v>11</v>
      </c>
      <c r="F19" s="266"/>
      <c r="G19" s="266"/>
      <c r="H19" s="266"/>
      <c r="I19" s="266"/>
      <c r="J19" s="266"/>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138"/>
    </row>
    <row r="20" spans="2:36" ht="15" thickBot="1" x14ac:dyDescent="0.4">
      <c r="B20" s="247"/>
      <c r="C20" s="249"/>
      <c r="D20" s="98"/>
      <c r="E20" s="16">
        <v>0</v>
      </c>
      <c r="F20" s="45">
        <v>0</v>
      </c>
      <c r="G20" s="45">
        <v>0</v>
      </c>
      <c r="H20" s="45">
        <v>0</v>
      </c>
      <c r="I20" s="45">
        <v>0</v>
      </c>
      <c r="J20" s="45">
        <v>0</v>
      </c>
      <c r="K20" s="59">
        <v>0</v>
      </c>
      <c r="L20" s="59">
        <v>0</v>
      </c>
      <c r="M20" s="59">
        <v>0</v>
      </c>
      <c r="N20" s="59">
        <v>0</v>
      </c>
      <c r="O20" s="59">
        <v>0</v>
      </c>
      <c r="P20" s="59">
        <v>0</v>
      </c>
      <c r="Q20" s="59">
        <v>0</v>
      </c>
      <c r="R20" s="59">
        <v>0</v>
      </c>
      <c r="S20" s="59">
        <v>0</v>
      </c>
      <c r="T20" s="59">
        <v>0</v>
      </c>
      <c r="U20" s="59">
        <v>0</v>
      </c>
      <c r="V20" s="59">
        <v>0</v>
      </c>
      <c r="W20" s="59">
        <v>0</v>
      </c>
      <c r="X20" s="59">
        <v>0</v>
      </c>
      <c r="Y20" s="59">
        <v>0</v>
      </c>
      <c r="Z20" s="59">
        <v>0</v>
      </c>
      <c r="AA20" s="59">
        <v>0</v>
      </c>
      <c r="AB20" s="59">
        <v>0</v>
      </c>
      <c r="AC20" s="59">
        <v>0</v>
      </c>
      <c r="AD20" s="59">
        <v>0</v>
      </c>
      <c r="AE20" s="59">
        <v>0</v>
      </c>
      <c r="AF20" s="59">
        <v>0</v>
      </c>
      <c r="AG20" s="59">
        <v>0</v>
      </c>
      <c r="AH20" s="59">
        <v>0</v>
      </c>
      <c r="AI20" s="59">
        <v>0</v>
      </c>
      <c r="AJ20" s="139">
        <v>0</v>
      </c>
    </row>
    <row r="21" spans="2:36" ht="15" thickTop="1" x14ac:dyDescent="0.35">
      <c r="B21" s="246" t="s">
        <v>122</v>
      </c>
      <c r="C21" s="248" t="s">
        <v>277</v>
      </c>
      <c r="D21" s="97"/>
      <c r="E21" s="265" t="s">
        <v>12</v>
      </c>
      <c r="F21" s="266"/>
      <c r="G21" s="266"/>
      <c r="H21" s="266"/>
      <c r="I21" s="266"/>
      <c r="J21" s="266"/>
      <c r="K21" s="60"/>
      <c r="L21" s="266" t="s">
        <v>278</v>
      </c>
      <c r="M21" s="266"/>
      <c r="N21" s="266" t="s">
        <v>279</v>
      </c>
      <c r="O21" s="266"/>
      <c r="P21" s="266"/>
      <c r="Q21" s="266"/>
      <c r="R21" s="50" t="s">
        <v>280</v>
      </c>
      <c r="S21" s="50" t="s">
        <v>281</v>
      </c>
      <c r="T21" s="50" t="s">
        <v>282</v>
      </c>
      <c r="U21" s="266" t="s">
        <v>283</v>
      </c>
      <c r="V21" s="266"/>
      <c r="W21" s="266"/>
      <c r="X21" s="50" t="s">
        <v>284</v>
      </c>
      <c r="Y21" s="50" t="s">
        <v>285</v>
      </c>
      <c r="Z21" s="266" t="s">
        <v>286</v>
      </c>
      <c r="AA21" s="266"/>
      <c r="AB21" s="266"/>
      <c r="AC21" s="266"/>
      <c r="AD21" s="50" t="s">
        <v>287</v>
      </c>
      <c r="AE21" s="50" t="s">
        <v>288</v>
      </c>
      <c r="AF21" s="50" t="s">
        <v>289</v>
      </c>
      <c r="AG21" s="266" t="s">
        <v>290</v>
      </c>
      <c r="AH21" s="266"/>
      <c r="AI21" s="266" t="s">
        <v>291</v>
      </c>
      <c r="AJ21" s="267"/>
    </row>
    <row r="22" spans="2:36" ht="15" thickBot="1" x14ac:dyDescent="0.4">
      <c r="B22" s="247"/>
      <c r="C22" s="249"/>
      <c r="D22" s="98"/>
      <c r="E22" s="16">
        <v>0</v>
      </c>
      <c r="F22" s="45">
        <v>0</v>
      </c>
      <c r="G22" s="45">
        <v>0</v>
      </c>
      <c r="H22" s="45">
        <v>0</v>
      </c>
      <c r="I22" s="45">
        <v>0</v>
      </c>
      <c r="J22" s="45">
        <v>0</v>
      </c>
      <c r="K22" s="59">
        <v>0</v>
      </c>
      <c r="L22" s="45">
        <v>0</v>
      </c>
      <c r="M22" s="45">
        <v>0</v>
      </c>
      <c r="N22" s="45">
        <v>0</v>
      </c>
      <c r="O22" s="45">
        <v>0</v>
      </c>
      <c r="P22" s="45">
        <v>0</v>
      </c>
      <c r="Q22" s="45">
        <v>0</v>
      </c>
      <c r="R22" s="45">
        <v>0</v>
      </c>
      <c r="S22" s="45">
        <v>0</v>
      </c>
      <c r="T22" s="45">
        <v>0</v>
      </c>
      <c r="U22" s="45">
        <v>0</v>
      </c>
      <c r="V22" s="45">
        <v>0</v>
      </c>
      <c r="W22" s="45">
        <v>0</v>
      </c>
      <c r="X22" s="45">
        <v>0</v>
      </c>
      <c r="Y22" s="45">
        <v>0</v>
      </c>
      <c r="Z22" s="45">
        <v>0</v>
      </c>
      <c r="AA22" s="45">
        <v>0</v>
      </c>
      <c r="AB22" s="45">
        <v>0</v>
      </c>
      <c r="AC22" s="45">
        <v>0</v>
      </c>
      <c r="AD22" s="45">
        <v>1</v>
      </c>
      <c r="AE22" s="45">
        <v>0</v>
      </c>
      <c r="AF22" s="45">
        <v>0</v>
      </c>
      <c r="AG22" s="45">
        <v>0</v>
      </c>
      <c r="AH22" s="45">
        <v>0</v>
      </c>
      <c r="AI22" s="45">
        <v>0</v>
      </c>
      <c r="AJ22" s="46">
        <v>0</v>
      </c>
    </row>
    <row r="23" spans="2:36" ht="15" thickTop="1" x14ac:dyDescent="0.35">
      <c r="B23" s="246" t="s">
        <v>123</v>
      </c>
      <c r="C23" s="248" t="s">
        <v>292</v>
      </c>
      <c r="D23" s="97"/>
      <c r="E23" s="265" t="s">
        <v>15</v>
      </c>
      <c r="F23" s="266"/>
      <c r="G23" s="266"/>
      <c r="H23" s="266"/>
      <c r="I23" s="266"/>
      <c r="J23" s="266"/>
      <c r="K23" s="50" t="s">
        <v>293</v>
      </c>
      <c r="L23" s="50" t="s">
        <v>294</v>
      </c>
      <c r="M23" s="50" t="s">
        <v>295</v>
      </c>
      <c r="N23" s="50" t="s">
        <v>296</v>
      </c>
      <c r="O23" s="50" t="s">
        <v>297</v>
      </c>
      <c r="P23" s="50" t="s">
        <v>298</v>
      </c>
      <c r="Q23" s="50" t="s">
        <v>299</v>
      </c>
      <c r="R23" s="266" t="s">
        <v>300</v>
      </c>
      <c r="S23" s="266"/>
      <c r="T23" s="266"/>
      <c r="U23" s="266"/>
      <c r="V23" s="266"/>
      <c r="W23" s="50" t="s">
        <v>301</v>
      </c>
      <c r="X23" s="266" t="s">
        <v>302</v>
      </c>
      <c r="Y23" s="266"/>
      <c r="Z23" s="266"/>
      <c r="AA23" s="266"/>
      <c r="AB23" s="266"/>
      <c r="AC23" s="266"/>
      <c r="AD23" s="266"/>
      <c r="AE23" s="266"/>
      <c r="AF23" s="50" t="s">
        <v>303</v>
      </c>
      <c r="AG23" s="266" t="s">
        <v>304</v>
      </c>
      <c r="AH23" s="266"/>
      <c r="AI23" s="50" t="s">
        <v>305</v>
      </c>
      <c r="AJ23" s="51" t="s">
        <v>306</v>
      </c>
    </row>
    <row r="24" spans="2:36" ht="15" thickBot="1" x14ac:dyDescent="0.4">
      <c r="B24" s="247"/>
      <c r="C24" s="249"/>
      <c r="D24" s="98"/>
      <c r="E24" s="16">
        <v>0</v>
      </c>
      <c r="F24" s="45">
        <v>0</v>
      </c>
      <c r="G24" s="45">
        <v>0</v>
      </c>
      <c r="H24" s="45">
        <v>0</v>
      </c>
      <c r="I24" s="45">
        <v>0</v>
      </c>
      <c r="J24" s="45">
        <v>0</v>
      </c>
      <c r="K24" s="45">
        <v>0</v>
      </c>
      <c r="L24" s="45">
        <v>0</v>
      </c>
      <c r="M24" s="45">
        <v>0</v>
      </c>
      <c r="N24" s="45">
        <v>0</v>
      </c>
      <c r="O24" s="45">
        <v>0</v>
      </c>
      <c r="P24" s="45">
        <v>0</v>
      </c>
      <c r="Q24" s="45">
        <v>0</v>
      </c>
      <c r="R24" s="45">
        <v>0</v>
      </c>
      <c r="S24" s="45">
        <v>0</v>
      </c>
      <c r="T24" s="45">
        <v>0</v>
      </c>
      <c r="U24" s="45">
        <v>0</v>
      </c>
      <c r="V24" s="45">
        <v>0</v>
      </c>
      <c r="W24" s="45">
        <v>0</v>
      </c>
      <c r="X24" s="45">
        <v>0</v>
      </c>
      <c r="Y24" s="45">
        <v>0</v>
      </c>
      <c r="Z24" s="45">
        <v>0</v>
      </c>
      <c r="AA24" s="45">
        <v>0</v>
      </c>
      <c r="AB24" s="45">
        <v>0</v>
      </c>
      <c r="AC24" s="45">
        <v>0</v>
      </c>
      <c r="AD24" s="45">
        <v>0</v>
      </c>
      <c r="AE24" s="45">
        <v>0</v>
      </c>
      <c r="AF24" s="45">
        <v>0</v>
      </c>
      <c r="AG24" s="45">
        <v>0</v>
      </c>
      <c r="AH24" s="45">
        <v>0</v>
      </c>
      <c r="AI24" s="45">
        <v>0</v>
      </c>
      <c r="AJ24" s="46">
        <v>1</v>
      </c>
    </row>
    <row r="25" spans="2:36" ht="15" thickTop="1" x14ac:dyDescent="0.35">
      <c r="B25" s="246" t="s">
        <v>124</v>
      </c>
      <c r="C25" s="248" t="s">
        <v>307</v>
      </c>
      <c r="D25" s="97"/>
      <c r="E25" s="265" t="s">
        <v>20</v>
      </c>
      <c r="F25" s="266"/>
      <c r="G25" s="266"/>
      <c r="H25" s="266"/>
      <c r="I25" s="266"/>
      <c r="J25" s="266"/>
      <c r="K25" s="60"/>
      <c r="L25" s="60"/>
      <c r="M25" s="60"/>
      <c r="N25" s="60"/>
      <c r="O25" s="50" t="s">
        <v>19</v>
      </c>
      <c r="P25" s="50" t="s">
        <v>308</v>
      </c>
      <c r="Q25" s="266" t="s">
        <v>309</v>
      </c>
      <c r="R25" s="266"/>
      <c r="S25" s="266"/>
      <c r="T25" s="266"/>
      <c r="U25" s="266"/>
      <c r="V25" s="266"/>
      <c r="W25" s="266"/>
      <c r="X25" s="266"/>
      <c r="Y25" s="266"/>
      <c r="Z25" s="266"/>
      <c r="AA25" s="266" t="s">
        <v>310</v>
      </c>
      <c r="AB25" s="266"/>
      <c r="AC25" s="266"/>
      <c r="AD25" s="266"/>
      <c r="AE25" s="266"/>
      <c r="AF25" s="266"/>
      <c r="AG25" s="266"/>
      <c r="AH25" s="266"/>
      <c r="AI25" s="266"/>
      <c r="AJ25" s="267"/>
    </row>
    <row r="26" spans="2:36" ht="15" thickBot="1" x14ac:dyDescent="0.4">
      <c r="B26" s="247"/>
      <c r="C26" s="249"/>
      <c r="D26" s="98"/>
      <c r="E26" s="16">
        <v>0</v>
      </c>
      <c r="F26" s="45">
        <v>0</v>
      </c>
      <c r="G26" s="45">
        <v>0</v>
      </c>
      <c r="H26" s="45">
        <v>0</v>
      </c>
      <c r="I26" s="45">
        <v>0</v>
      </c>
      <c r="J26" s="45">
        <v>0</v>
      </c>
      <c r="K26" s="59">
        <v>0</v>
      </c>
      <c r="L26" s="59">
        <v>0</v>
      </c>
      <c r="M26" s="59">
        <v>0</v>
      </c>
      <c r="N26" s="59">
        <v>0</v>
      </c>
      <c r="O26" s="45">
        <v>0</v>
      </c>
      <c r="P26" s="45">
        <v>0</v>
      </c>
      <c r="Q26" s="45">
        <v>0</v>
      </c>
      <c r="R26" s="45">
        <v>0</v>
      </c>
      <c r="S26" s="45">
        <v>0</v>
      </c>
      <c r="T26" s="45">
        <v>0</v>
      </c>
      <c r="U26" s="45">
        <v>0</v>
      </c>
      <c r="V26" s="45">
        <v>0</v>
      </c>
      <c r="W26" s="45">
        <v>0</v>
      </c>
      <c r="X26" s="45">
        <v>0</v>
      </c>
      <c r="Y26" s="45">
        <v>0</v>
      </c>
      <c r="Z26" s="45">
        <v>0</v>
      </c>
      <c r="AA26" s="45">
        <v>0</v>
      </c>
      <c r="AB26" s="45">
        <v>0</v>
      </c>
      <c r="AC26" s="45">
        <v>0</v>
      </c>
      <c r="AD26" s="45">
        <v>0</v>
      </c>
      <c r="AE26" s="45">
        <v>0</v>
      </c>
      <c r="AF26" s="45">
        <v>0</v>
      </c>
      <c r="AG26" s="45">
        <v>0</v>
      </c>
      <c r="AH26" s="45">
        <v>0</v>
      </c>
      <c r="AI26" s="45">
        <v>0</v>
      </c>
      <c r="AJ26" s="46">
        <v>0</v>
      </c>
    </row>
    <row r="27" spans="2:36" ht="15" thickTop="1" x14ac:dyDescent="0.35">
      <c r="B27" s="246" t="s">
        <v>125</v>
      </c>
      <c r="C27" s="248" t="s">
        <v>311</v>
      </c>
      <c r="D27" s="97"/>
      <c r="E27" s="265" t="s">
        <v>21</v>
      </c>
      <c r="F27" s="266"/>
      <c r="G27" s="266"/>
      <c r="H27" s="266"/>
      <c r="I27" s="266"/>
      <c r="J27" s="266"/>
      <c r="K27" s="266" t="s">
        <v>312</v>
      </c>
      <c r="L27" s="266"/>
      <c r="M27" s="266"/>
      <c r="N27" s="266"/>
      <c r="O27" s="266"/>
      <c r="P27" s="266"/>
      <c r="Q27" s="266" t="s">
        <v>313</v>
      </c>
      <c r="R27" s="266"/>
      <c r="S27" s="266"/>
      <c r="T27" s="266"/>
      <c r="U27" s="266"/>
      <c r="V27" s="266"/>
      <c r="W27" s="266"/>
      <c r="X27" s="266"/>
      <c r="Y27" s="266"/>
      <c r="Z27" s="266"/>
      <c r="AA27" s="266" t="s">
        <v>314</v>
      </c>
      <c r="AB27" s="266"/>
      <c r="AC27" s="266"/>
      <c r="AD27" s="266"/>
      <c r="AE27" s="266"/>
      <c r="AF27" s="266"/>
      <c r="AG27" s="266"/>
      <c r="AH27" s="266"/>
      <c r="AI27" s="266"/>
      <c r="AJ27" s="267"/>
    </row>
    <row r="28" spans="2:36" ht="15" thickBot="1" x14ac:dyDescent="0.4">
      <c r="B28" s="247"/>
      <c r="C28" s="249"/>
      <c r="D28" s="98"/>
      <c r="E28" s="16">
        <v>0</v>
      </c>
      <c r="F28" s="45">
        <v>0</v>
      </c>
      <c r="G28" s="45">
        <v>0</v>
      </c>
      <c r="H28" s="45">
        <v>0</v>
      </c>
      <c r="I28" s="45">
        <v>0</v>
      </c>
      <c r="J28" s="45">
        <v>0</v>
      </c>
      <c r="K28" s="45">
        <v>0</v>
      </c>
      <c r="L28" s="45">
        <v>0</v>
      </c>
      <c r="M28" s="45">
        <v>0</v>
      </c>
      <c r="N28" s="45">
        <v>0</v>
      </c>
      <c r="O28" s="45">
        <v>0</v>
      </c>
      <c r="P28" s="45">
        <v>0</v>
      </c>
      <c r="Q28" s="45">
        <v>0</v>
      </c>
      <c r="R28" s="45">
        <v>0</v>
      </c>
      <c r="S28" s="45">
        <v>0</v>
      </c>
      <c r="T28" s="45">
        <v>0</v>
      </c>
      <c r="U28" s="45">
        <v>0</v>
      </c>
      <c r="V28" s="45">
        <v>0</v>
      </c>
      <c r="W28" s="45">
        <v>0</v>
      </c>
      <c r="X28" s="45">
        <v>0</v>
      </c>
      <c r="Y28" s="45">
        <v>0</v>
      </c>
      <c r="Z28" s="45">
        <v>0</v>
      </c>
      <c r="AA28" s="45">
        <v>0</v>
      </c>
      <c r="AB28" s="45">
        <v>0</v>
      </c>
      <c r="AC28" s="45">
        <v>0</v>
      </c>
      <c r="AD28" s="45">
        <v>0</v>
      </c>
      <c r="AE28" s="45">
        <v>0</v>
      </c>
      <c r="AF28" s="45">
        <v>0</v>
      </c>
      <c r="AG28" s="45">
        <v>0</v>
      </c>
      <c r="AH28" s="45">
        <v>0</v>
      </c>
      <c r="AI28" s="45">
        <v>0</v>
      </c>
      <c r="AJ28" s="46">
        <v>0</v>
      </c>
    </row>
    <row r="29" spans="2:36" ht="15" thickTop="1" x14ac:dyDescent="0.35">
      <c r="B29" s="246" t="s">
        <v>126</v>
      </c>
      <c r="C29" s="248" t="s">
        <v>315</v>
      </c>
      <c r="D29" s="97"/>
      <c r="E29" s="265" t="s">
        <v>22</v>
      </c>
      <c r="F29" s="266"/>
      <c r="G29" s="266"/>
      <c r="H29" s="266"/>
      <c r="I29" s="266"/>
      <c r="J29" s="266"/>
      <c r="K29" s="60"/>
      <c r="L29" s="60"/>
      <c r="M29" s="60"/>
      <c r="N29" s="60"/>
      <c r="O29" s="60"/>
      <c r="P29" s="60"/>
      <c r="Q29" s="60"/>
      <c r="R29" s="60"/>
      <c r="S29" s="266" t="s">
        <v>316</v>
      </c>
      <c r="T29" s="266"/>
      <c r="U29" s="266"/>
      <c r="V29" s="266"/>
      <c r="W29" s="266"/>
      <c r="X29" s="266"/>
      <c r="Y29" s="266"/>
      <c r="Z29" s="266"/>
      <c r="AA29" s="266"/>
      <c r="AB29" s="266" t="s">
        <v>317</v>
      </c>
      <c r="AC29" s="266"/>
      <c r="AD29" s="266"/>
      <c r="AE29" s="266"/>
      <c r="AF29" s="266"/>
      <c r="AG29" s="266"/>
      <c r="AH29" s="266"/>
      <c r="AI29" s="266"/>
      <c r="AJ29" s="267"/>
    </row>
    <row r="30" spans="2:36" ht="15" thickBot="1" x14ac:dyDescent="0.4">
      <c r="B30" s="247"/>
      <c r="C30" s="249"/>
      <c r="D30" s="98"/>
      <c r="E30" s="16">
        <v>0</v>
      </c>
      <c r="F30" s="45">
        <v>0</v>
      </c>
      <c r="G30" s="45">
        <v>0</v>
      </c>
      <c r="H30" s="45">
        <v>0</v>
      </c>
      <c r="I30" s="45">
        <v>0</v>
      </c>
      <c r="J30" s="45">
        <v>0</v>
      </c>
      <c r="K30" s="59">
        <v>0</v>
      </c>
      <c r="L30" s="59">
        <v>0</v>
      </c>
      <c r="M30" s="59">
        <v>0</v>
      </c>
      <c r="N30" s="59">
        <v>0</v>
      </c>
      <c r="O30" s="59">
        <v>0</v>
      </c>
      <c r="P30" s="59">
        <v>0</v>
      </c>
      <c r="Q30" s="59">
        <v>0</v>
      </c>
      <c r="R30" s="59">
        <v>0</v>
      </c>
      <c r="S30" s="45">
        <v>0</v>
      </c>
      <c r="T30" s="45">
        <v>0</v>
      </c>
      <c r="U30" s="45">
        <v>0</v>
      </c>
      <c r="V30" s="45">
        <v>0</v>
      </c>
      <c r="W30" s="45">
        <v>0</v>
      </c>
      <c r="X30" s="45">
        <v>0</v>
      </c>
      <c r="Y30" s="45">
        <v>0</v>
      </c>
      <c r="Z30" s="45">
        <v>0</v>
      </c>
      <c r="AA30" s="45">
        <v>0</v>
      </c>
      <c r="AB30" s="45">
        <v>0</v>
      </c>
      <c r="AC30" s="45">
        <v>0</v>
      </c>
      <c r="AD30" s="45">
        <v>0</v>
      </c>
      <c r="AE30" s="45">
        <v>0</v>
      </c>
      <c r="AF30" s="45">
        <v>0</v>
      </c>
      <c r="AG30" s="45">
        <v>0</v>
      </c>
      <c r="AH30" s="45">
        <v>0</v>
      </c>
      <c r="AI30" s="45">
        <v>0</v>
      </c>
      <c r="AJ30" s="46">
        <v>0</v>
      </c>
    </row>
    <row r="31" spans="2:36" ht="15" thickTop="1" x14ac:dyDescent="0.35">
      <c r="B31" s="246" t="s">
        <v>127</v>
      </c>
      <c r="C31" s="248" t="s">
        <v>318</v>
      </c>
      <c r="D31" s="97"/>
      <c r="E31" s="265" t="s">
        <v>23</v>
      </c>
      <c r="F31" s="266"/>
      <c r="G31" s="266"/>
      <c r="H31" s="266"/>
      <c r="I31" s="266"/>
      <c r="J31" s="266"/>
      <c r="K31" s="60"/>
      <c r="L31" s="266" t="s">
        <v>319</v>
      </c>
      <c r="M31" s="266"/>
      <c r="N31" s="266"/>
      <c r="O31" s="266"/>
      <c r="P31" s="266"/>
      <c r="Q31" s="266"/>
      <c r="R31" s="266"/>
      <c r="S31" s="266" t="s">
        <v>320</v>
      </c>
      <c r="T31" s="266"/>
      <c r="U31" s="266"/>
      <c r="V31" s="266"/>
      <c r="W31" s="266"/>
      <c r="X31" s="266"/>
      <c r="Y31" s="266"/>
      <c r="Z31" s="266"/>
      <c r="AA31" s="266"/>
      <c r="AB31" s="266" t="s">
        <v>321</v>
      </c>
      <c r="AC31" s="266"/>
      <c r="AD31" s="266"/>
      <c r="AE31" s="266"/>
      <c r="AF31" s="266"/>
      <c r="AG31" s="266"/>
      <c r="AH31" s="266"/>
      <c r="AI31" s="266"/>
      <c r="AJ31" s="267"/>
    </row>
    <row r="32" spans="2:36" ht="15" thickBot="1" x14ac:dyDescent="0.4">
      <c r="B32" s="247"/>
      <c r="C32" s="249"/>
      <c r="D32" s="98"/>
      <c r="E32" s="16">
        <v>0</v>
      </c>
      <c r="F32" s="45">
        <v>0</v>
      </c>
      <c r="G32" s="45">
        <v>0</v>
      </c>
      <c r="H32" s="45">
        <v>0</v>
      </c>
      <c r="I32" s="45">
        <v>0</v>
      </c>
      <c r="J32" s="45">
        <v>0</v>
      </c>
      <c r="K32" s="59">
        <v>0</v>
      </c>
      <c r="L32" s="45">
        <v>0</v>
      </c>
      <c r="M32" s="45">
        <v>1</v>
      </c>
      <c r="N32" s="45">
        <v>1</v>
      </c>
      <c r="O32" s="45">
        <v>1</v>
      </c>
      <c r="P32" s="45">
        <v>1</v>
      </c>
      <c r="Q32" s="45">
        <v>1</v>
      </c>
      <c r="R32" s="45">
        <v>1</v>
      </c>
      <c r="S32" s="45">
        <v>0</v>
      </c>
      <c r="T32" s="45">
        <v>0</v>
      </c>
      <c r="U32" s="45">
        <v>0</v>
      </c>
      <c r="V32" s="45">
        <v>0</v>
      </c>
      <c r="W32" s="45">
        <v>0</v>
      </c>
      <c r="X32" s="45">
        <v>0</v>
      </c>
      <c r="Y32" s="45">
        <v>0</v>
      </c>
      <c r="Z32" s="45">
        <v>0</v>
      </c>
      <c r="AA32" s="45">
        <v>0</v>
      </c>
      <c r="AB32" s="45">
        <v>0</v>
      </c>
      <c r="AC32" s="45">
        <v>0</v>
      </c>
      <c r="AD32" s="45">
        <v>0</v>
      </c>
      <c r="AE32" s="45">
        <v>0</v>
      </c>
      <c r="AF32" s="45">
        <v>0</v>
      </c>
      <c r="AG32" s="45">
        <v>0</v>
      </c>
      <c r="AH32" s="45">
        <v>0</v>
      </c>
      <c r="AI32" s="45">
        <v>0</v>
      </c>
      <c r="AJ32" s="46">
        <v>0</v>
      </c>
    </row>
    <row r="33" spans="2:36" ht="15" thickTop="1" x14ac:dyDescent="0.35">
      <c r="B33" s="246" t="s">
        <v>128</v>
      </c>
      <c r="C33" s="248" t="s">
        <v>322</v>
      </c>
      <c r="D33" s="97"/>
      <c r="E33" s="265" t="s">
        <v>24</v>
      </c>
      <c r="F33" s="266"/>
      <c r="G33" s="266"/>
      <c r="H33" s="266"/>
      <c r="I33" s="266"/>
      <c r="J33" s="266"/>
      <c r="K33" s="266" t="s">
        <v>323</v>
      </c>
      <c r="L33" s="266"/>
      <c r="M33" s="266"/>
      <c r="N33" s="266"/>
      <c r="O33" s="266"/>
      <c r="P33" s="266"/>
      <c r="Q33" s="266"/>
      <c r="R33" s="266"/>
      <c r="S33" s="266"/>
      <c r="T33" s="266"/>
      <c r="U33" s="266" t="s">
        <v>324</v>
      </c>
      <c r="V33" s="266"/>
      <c r="W33" s="266"/>
      <c r="X33" s="266"/>
      <c r="Y33" s="266"/>
      <c r="Z33" s="266"/>
      <c r="AA33" s="266"/>
      <c r="AB33" s="266"/>
      <c r="AC33" s="266"/>
      <c r="AD33" s="266"/>
      <c r="AE33" s="266" t="s">
        <v>325</v>
      </c>
      <c r="AF33" s="266"/>
      <c r="AG33" s="266"/>
      <c r="AH33" s="266"/>
      <c r="AI33" s="266"/>
      <c r="AJ33" s="267"/>
    </row>
    <row r="34" spans="2:36" ht="15" thickBot="1" x14ac:dyDescent="0.4">
      <c r="B34" s="247"/>
      <c r="C34" s="249"/>
      <c r="D34" s="98"/>
      <c r="E34" s="16">
        <v>0</v>
      </c>
      <c r="F34" s="45">
        <v>0</v>
      </c>
      <c r="G34" s="45">
        <v>0</v>
      </c>
      <c r="H34" s="45">
        <v>0</v>
      </c>
      <c r="I34" s="45">
        <v>0</v>
      </c>
      <c r="J34" s="45">
        <v>0</v>
      </c>
      <c r="K34" s="45">
        <v>0</v>
      </c>
      <c r="L34" s="45">
        <v>0</v>
      </c>
      <c r="M34" s="45">
        <v>0</v>
      </c>
      <c r="N34" s="45">
        <v>0</v>
      </c>
      <c r="O34" s="45">
        <v>0</v>
      </c>
      <c r="P34" s="45">
        <v>0</v>
      </c>
      <c r="Q34" s="45">
        <v>0</v>
      </c>
      <c r="R34" s="45">
        <v>0</v>
      </c>
      <c r="S34" s="45">
        <v>0</v>
      </c>
      <c r="T34" s="45">
        <v>0</v>
      </c>
      <c r="U34" s="45">
        <v>0</v>
      </c>
      <c r="V34" s="45">
        <v>0</v>
      </c>
      <c r="W34" s="45">
        <v>0</v>
      </c>
      <c r="X34" s="45">
        <v>0</v>
      </c>
      <c r="Y34" s="45">
        <v>0</v>
      </c>
      <c r="Z34" s="45">
        <v>0</v>
      </c>
      <c r="AA34" s="45">
        <v>0</v>
      </c>
      <c r="AB34" s="45">
        <v>0</v>
      </c>
      <c r="AC34" s="45">
        <v>0</v>
      </c>
      <c r="AD34" s="45">
        <v>0</v>
      </c>
      <c r="AE34" s="45">
        <v>0</v>
      </c>
      <c r="AF34" s="45">
        <v>0</v>
      </c>
      <c r="AG34" s="45">
        <v>0</v>
      </c>
      <c r="AH34" s="45">
        <v>0</v>
      </c>
      <c r="AI34" s="45">
        <v>0</v>
      </c>
      <c r="AJ34" s="46">
        <v>0</v>
      </c>
    </row>
    <row r="35" spans="2:36" ht="15" thickTop="1" x14ac:dyDescent="0.35">
      <c r="B35" s="246" t="s">
        <v>129</v>
      </c>
      <c r="C35" s="248" t="s">
        <v>326</v>
      </c>
      <c r="D35" s="97"/>
      <c r="E35" s="265" t="s">
        <v>25</v>
      </c>
      <c r="F35" s="266"/>
      <c r="G35" s="266"/>
      <c r="H35" s="266"/>
      <c r="I35" s="266"/>
      <c r="J35" s="266"/>
      <c r="K35" s="50" t="s">
        <v>327</v>
      </c>
      <c r="L35" s="266" t="s">
        <v>328</v>
      </c>
      <c r="M35" s="266"/>
      <c r="N35" s="266"/>
      <c r="O35" s="266"/>
      <c r="P35" s="266"/>
      <c r="Q35" s="266"/>
      <c r="R35" s="266"/>
      <c r="S35" s="266"/>
      <c r="T35" s="266"/>
      <c r="U35" s="266"/>
      <c r="V35" s="266"/>
      <c r="W35" s="266" t="s">
        <v>329</v>
      </c>
      <c r="X35" s="266"/>
      <c r="Y35" s="266"/>
      <c r="Z35" s="266"/>
      <c r="AA35" s="266"/>
      <c r="AB35" s="266"/>
      <c r="AC35" s="266"/>
      <c r="AD35" s="266"/>
      <c r="AE35" s="266"/>
      <c r="AF35" s="266"/>
      <c r="AG35" s="266"/>
      <c r="AH35" s="266"/>
      <c r="AI35" s="266"/>
      <c r="AJ35" s="267"/>
    </row>
    <row r="36" spans="2:36" ht="15" thickBot="1" x14ac:dyDescent="0.4">
      <c r="B36" s="247"/>
      <c r="C36" s="249"/>
      <c r="D36" s="98"/>
      <c r="E36" s="16">
        <v>0</v>
      </c>
      <c r="F36" s="45">
        <v>0</v>
      </c>
      <c r="G36" s="45">
        <v>0</v>
      </c>
      <c r="H36" s="45">
        <v>0</v>
      </c>
      <c r="I36" s="45">
        <v>0</v>
      </c>
      <c r="J36" s="45">
        <v>0</v>
      </c>
      <c r="K36" s="45">
        <v>0</v>
      </c>
      <c r="L36" s="45">
        <v>0</v>
      </c>
      <c r="M36" s="45">
        <v>0</v>
      </c>
      <c r="N36" s="45">
        <v>0</v>
      </c>
      <c r="O36" s="45">
        <v>0</v>
      </c>
      <c r="P36" s="45">
        <v>0</v>
      </c>
      <c r="Q36" s="45">
        <v>0</v>
      </c>
      <c r="R36" s="45">
        <v>0</v>
      </c>
      <c r="S36" s="45">
        <v>0</v>
      </c>
      <c r="T36" s="45">
        <v>0</v>
      </c>
      <c r="U36" s="45">
        <v>0</v>
      </c>
      <c r="V36" s="45">
        <v>0</v>
      </c>
      <c r="W36" s="45">
        <v>0</v>
      </c>
      <c r="X36" s="45">
        <v>0</v>
      </c>
      <c r="Y36" s="45">
        <v>0</v>
      </c>
      <c r="Z36" s="45">
        <v>0</v>
      </c>
      <c r="AA36" s="45">
        <v>0</v>
      </c>
      <c r="AB36" s="45">
        <v>0</v>
      </c>
      <c r="AC36" s="45">
        <v>0</v>
      </c>
      <c r="AD36" s="45">
        <v>0</v>
      </c>
      <c r="AE36" s="45">
        <v>0</v>
      </c>
      <c r="AF36" s="45">
        <v>0</v>
      </c>
      <c r="AG36" s="45">
        <v>0</v>
      </c>
      <c r="AH36" s="45">
        <v>0</v>
      </c>
      <c r="AI36" s="45">
        <v>0</v>
      </c>
      <c r="AJ36" s="46">
        <v>0</v>
      </c>
    </row>
    <row r="37" spans="2:36" ht="15" thickTop="1" x14ac:dyDescent="0.35">
      <c r="B37" s="246" t="s">
        <v>130</v>
      </c>
      <c r="C37" s="248" t="s">
        <v>330</v>
      </c>
      <c r="D37" s="97"/>
      <c r="E37" s="265" t="s">
        <v>26</v>
      </c>
      <c r="F37" s="266"/>
      <c r="G37" s="266"/>
      <c r="H37" s="266"/>
      <c r="I37" s="266"/>
      <c r="J37" s="266"/>
      <c r="K37" s="60"/>
      <c r="L37" s="60"/>
      <c r="M37" s="266" t="s">
        <v>331</v>
      </c>
      <c r="N37" s="266"/>
      <c r="O37" s="266"/>
      <c r="P37" s="266"/>
      <c r="Q37" s="266"/>
      <c r="R37" s="266"/>
      <c r="S37" s="266" t="s">
        <v>332</v>
      </c>
      <c r="T37" s="266"/>
      <c r="U37" s="266"/>
      <c r="V37" s="266"/>
      <c r="W37" s="266"/>
      <c r="X37" s="266"/>
      <c r="Y37" s="266" t="s">
        <v>333</v>
      </c>
      <c r="Z37" s="266"/>
      <c r="AA37" s="266"/>
      <c r="AB37" s="266"/>
      <c r="AC37" s="266"/>
      <c r="AD37" s="266"/>
      <c r="AE37" s="266" t="s">
        <v>334</v>
      </c>
      <c r="AF37" s="266"/>
      <c r="AG37" s="266"/>
      <c r="AH37" s="266"/>
      <c r="AI37" s="266"/>
      <c r="AJ37" s="267"/>
    </row>
    <row r="38" spans="2:36" ht="15" thickBot="1" x14ac:dyDescent="0.4">
      <c r="B38" s="247"/>
      <c r="C38" s="249"/>
      <c r="D38" s="98"/>
      <c r="E38" s="16">
        <v>0</v>
      </c>
      <c r="F38" s="45">
        <v>0</v>
      </c>
      <c r="G38" s="45">
        <v>0</v>
      </c>
      <c r="H38" s="45">
        <v>0</v>
      </c>
      <c r="I38" s="45">
        <v>0</v>
      </c>
      <c r="J38" s="45">
        <v>0</v>
      </c>
      <c r="K38" s="59">
        <v>0</v>
      </c>
      <c r="L38" s="59">
        <v>0</v>
      </c>
      <c r="M38" s="45">
        <v>1</v>
      </c>
      <c r="N38" s="45">
        <v>0</v>
      </c>
      <c r="O38" s="45">
        <v>0</v>
      </c>
      <c r="P38" s="45">
        <v>0</v>
      </c>
      <c r="Q38" s="45">
        <v>0</v>
      </c>
      <c r="R38" s="45">
        <v>0</v>
      </c>
      <c r="S38" s="45">
        <v>0</v>
      </c>
      <c r="T38" s="45">
        <v>0</v>
      </c>
      <c r="U38" s="45">
        <v>1</v>
      </c>
      <c r="V38" s="45">
        <v>0</v>
      </c>
      <c r="W38" s="45">
        <v>0</v>
      </c>
      <c r="X38" s="45">
        <v>0</v>
      </c>
      <c r="Y38" s="45">
        <v>1</v>
      </c>
      <c r="Z38" s="45">
        <v>0</v>
      </c>
      <c r="AA38" s="45">
        <v>0</v>
      </c>
      <c r="AB38" s="45">
        <v>0</v>
      </c>
      <c r="AC38" s="45">
        <v>0</v>
      </c>
      <c r="AD38" s="45">
        <v>0</v>
      </c>
      <c r="AE38" s="45">
        <v>0</v>
      </c>
      <c r="AF38" s="45">
        <v>0</v>
      </c>
      <c r="AG38" s="45">
        <v>0</v>
      </c>
      <c r="AH38" s="45">
        <v>1</v>
      </c>
      <c r="AI38" s="45">
        <v>1</v>
      </c>
      <c r="AJ38" s="46">
        <v>1</v>
      </c>
    </row>
    <row r="39" spans="2:36" ht="15" thickTop="1" x14ac:dyDescent="0.35">
      <c r="B39" s="242" t="s">
        <v>131</v>
      </c>
      <c r="C39" s="244" t="s">
        <v>335</v>
      </c>
      <c r="D39" s="99"/>
      <c r="E39" s="262" t="s">
        <v>27</v>
      </c>
      <c r="F39" s="263"/>
      <c r="G39" s="263"/>
      <c r="H39" s="263"/>
      <c r="I39" s="263"/>
      <c r="J39" s="263"/>
      <c r="K39" s="100"/>
      <c r="L39" s="100"/>
      <c r="M39" s="263" t="s">
        <v>336</v>
      </c>
      <c r="N39" s="263"/>
      <c r="O39" s="263" t="s">
        <v>337</v>
      </c>
      <c r="P39" s="263"/>
      <c r="Q39" s="263"/>
      <c r="R39" s="263" t="s">
        <v>338</v>
      </c>
      <c r="S39" s="263"/>
      <c r="T39" s="101" t="s">
        <v>339</v>
      </c>
      <c r="U39" s="101" t="s">
        <v>340</v>
      </c>
      <c r="V39" s="101" t="s">
        <v>341</v>
      </c>
      <c r="W39" s="101" t="s">
        <v>342</v>
      </c>
      <c r="X39" s="101" t="s">
        <v>343</v>
      </c>
      <c r="Y39" s="101" t="s">
        <v>344</v>
      </c>
      <c r="Z39" s="101" t="s">
        <v>345</v>
      </c>
      <c r="AA39" s="263" t="s">
        <v>346</v>
      </c>
      <c r="AB39" s="263"/>
      <c r="AC39" s="263" t="s">
        <v>347</v>
      </c>
      <c r="AD39" s="263"/>
      <c r="AE39" s="101" t="s">
        <v>348</v>
      </c>
      <c r="AF39" s="101" t="s">
        <v>349</v>
      </c>
      <c r="AG39" s="101" t="s">
        <v>350</v>
      </c>
      <c r="AH39" s="263" t="s">
        <v>351</v>
      </c>
      <c r="AI39" s="263"/>
      <c r="AJ39" s="264"/>
    </row>
    <row r="40" spans="2:36" ht="15" thickBot="1" x14ac:dyDescent="0.4">
      <c r="B40" s="243"/>
      <c r="C40" s="245"/>
      <c r="D40" s="102"/>
      <c r="E40" s="17">
        <v>0</v>
      </c>
      <c r="F40" s="103">
        <v>0</v>
      </c>
      <c r="G40" s="103">
        <v>0</v>
      </c>
      <c r="H40" s="103">
        <v>0</v>
      </c>
      <c r="I40" s="103">
        <v>0</v>
      </c>
      <c r="J40" s="103">
        <v>0</v>
      </c>
      <c r="K40" s="104">
        <v>0</v>
      </c>
      <c r="L40" s="104">
        <v>0</v>
      </c>
      <c r="M40" s="103">
        <v>0</v>
      </c>
      <c r="N40" s="103">
        <v>0</v>
      </c>
      <c r="O40" s="103">
        <v>0</v>
      </c>
      <c r="P40" s="103">
        <v>0</v>
      </c>
      <c r="Q40" s="103">
        <v>0</v>
      </c>
      <c r="R40" s="103">
        <v>0</v>
      </c>
      <c r="S40" s="103">
        <v>0</v>
      </c>
      <c r="T40" s="103">
        <v>0</v>
      </c>
      <c r="U40" s="103">
        <v>0</v>
      </c>
      <c r="V40" s="103">
        <v>0</v>
      </c>
      <c r="W40" s="103">
        <v>0</v>
      </c>
      <c r="X40" s="103">
        <v>0</v>
      </c>
      <c r="Y40" s="103">
        <v>0</v>
      </c>
      <c r="Z40" s="103">
        <v>0</v>
      </c>
      <c r="AA40" s="103">
        <v>0</v>
      </c>
      <c r="AB40" s="103">
        <v>0</v>
      </c>
      <c r="AC40" s="103">
        <v>0</v>
      </c>
      <c r="AD40" s="103">
        <v>0</v>
      </c>
      <c r="AE40" s="103">
        <v>0</v>
      </c>
      <c r="AF40" s="103">
        <v>0</v>
      </c>
      <c r="AG40" s="103">
        <v>0</v>
      </c>
      <c r="AH40" s="103">
        <v>0</v>
      </c>
      <c r="AI40" s="103">
        <v>0</v>
      </c>
      <c r="AJ40" s="18">
        <v>0</v>
      </c>
    </row>
    <row r="41" spans="2:36" ht="15" thickTop="1" x14ac:dyDescent="0.35">
      <c r="B41" s="242" t="s">
        <v>132</v>
      </c>
      <c r="C41" s="244" t="s">
        <v>352</v>
      </c>
      <c r="D41" s="99"/>
      <c r="E41" s="262" t="s">
        <v>28</v>
      </c>
      <c r="F41" s="263"/>
      <c r="G41" s="263"/>
      <c r="H41" s="263"/>
      <c r="I41" s="263"/>
      <c r="J41" s="263"/>
      <c r="K41" s="100"/>
      <c r="L41" s="100"/>
      <c r="M41" s="100"/>
      <c r="N41" s="100"/>
      <c r="O41" s="100"/>
      <c r="P41" s="100"/>
      <c r="Q41" s="100"/>
      <c r="R41" s="100"/>
      <c r="S41" s="100"/>
      <c r="T41" s="100"/>
      <c r="U41" s="100"/>
      <c r="V41" s="100"/>
      <c r="W41" s="100"/>
      <c r="X41" s="100"/>
      <c r="Y41" s="100"/>
      <c r="Z41" s="100"/>
      <c r="AA41" s="100"/>
      <c r="AB41" s="263" t="s">
        <v>353</v>
      </c>
      <c r="AC41" s="263"/>
      <c r="AD41" s="263" t="s">
        <v>354</v>
      </c>
      <c r="AE41" s="263"/>
      <c r="AF41" s="263"/>
      <c r="AG41" s="263"/>
      <c r="AH41" s="263"/>
      <c r="AI41" s="263"/>
      <c r="AJ41" s="264"/>
    </row>
    <row r="42" spans="2:36" ht="15" thickBot="1" x14ac:dyDescent="0.4">
      <c r="B42" s="243"/>
      <c r="C42" s="245"/>
      <c r="D42" s="102"/>
      <c r="E42" s="17">
        <v>0</v>
      </c>
      <c r="F42" s="103">
        <v>0</v>
      </c>
      <c r="G42" s="103">
        <v>0</v>
      </c>
      <c r="H42" s="103">
        <v>0</v>
      </c>
      <c r="I42" s="103">
        <v>0</v>
      </c>
      <c r="J42" s="103">
        <v>0</v>
      </c>
      <c r="K42" s="104">
        <v>0</v>
      </c>
      <c r="L42" s="104">
        <v>0</v>
      </c>
      <c r="M42" s="104">
        <v>0</v>
      </c>
      <c r="N42" s="104">
        <v>0</v>
      </c>
      <c r="O42" s="104">
        <v>0</v>
      </c>
      <c r="P42" s="104">
        <v>0</v>
      </c>
      <c r="Q42" s="104">
        <v>0</v>
      </c>
      <c r="R42" s="104">
        <v>0</v>
      </c>
      <c r="S42" s="104">
        <v>0</v>
      </c>
      <c r="T42" s="104">
        <v>0</v>
      </c>
      <c r="U42" s="104">
        <v>0</v>
      </c>
      <c r="V42" s="104">
        <v>0</v>
      </c>
      <c r="W42" s="104">
        <v>0</v>
      </c>
      <c r="X42" s="104">
        <v>0</v>
      </c>
      <c r="Y42" s="104">
        <v>0</v>
      </c>
      <c r="Z42" s="104">
        <v>0</v>
      </c>
      <c r="AA42" s="104">
        <v>0</v>
      </c>
      <c r="AB42" s="103">
        <v>0</v>
      </c>
      <c r="AC42" s="103">
        <v>0</v>
      </c>
      <c r="AD42" s="103">
        <v>0</v>
      </c>
      <c r="AE42" s="103">
        <v>0</v>
      </c>
      <c r="AF42" s="103">
        <v>0</v>
      </c>
      <c r="AG42" s="103">
        <v>0</v>
      </c>
      <c r="AH42" s="103">
        <v>0</v>
      </c>
      <c r="AI42" s="103">
        <v>0</v>
      </c>
      <c r="AJ42" s="18">
        <v>0</v>
      </c>
    </row>
    <row r="43" spans="2:36" ht="15" thickTop="1" x14ac:dyDescent="0.35">
      <c r="B43" s="242" t="s">
        <v>133</v>
      </c>
      <c r="C43" s="244" t="s">
        <v>355</v>
      </c>
      <c r="D43" s="99"/>
      <c r="E43" s="262" t="s">
        <v>29</v>
      </c>
      <c r="F43" s="263"/>
      <c r="G43" s="263"/>
      <c r="H43" s="263"/>
      <c r="I43" s="263"/>
      <c r="J43" s="263"/>
      <c r="K43" s="100"/>
      <c r="L43" s="100"/>
      <c r="M43" s="100"/>
      <c r="N43" s="100"/>
      <c r="O43" s="100"/>
      <c r="P43" s="100"/>
      <c r="Q43" s="100"/>
      <c r="R43" s="100"/>
      <c r="S43" s="100"/>
      <c r="T43" s="100"/>
      <c r="U43" s="100"/>
      <c r="V43" s="100"/>
      <c r="W43" s="100"/>
      <c r="X43" s="100"/>
      <c r="Y43" s="100"/>
      <c r="Z43" s="100"/>
      <c r="AA43" s="100"/>
      <c r="AB43" s="263" t="s">
        <v>17</v>
      </c>
      <c r="AC43" s="263"/>
      <c r="AD43" s="263"/>
      <c r="AE43" s="101" t="s">
        <v>356</v>
      </c>
      <c r="AF43" s="101" t="s">
        <v>357</v>
      </c>
      <c r="AG43" s="263" t="s">
        <v>358</v>
      </c>
      <c r="AH43" s="263"/>
      <c r="AI43" s="263"/>
      <c r="AJ43" s="264"/>
    </row>
    <row r="44" spans="2:36" ht="15" thickBot="1" x14ac:dyDescent="0.4">
      <c r="B44" s="243"/>
      <c r="C44" s="245"/>
      <c r="D44" s="102"/>
      <c r="E44" s="17">
        <v>0</v>
      </c>
      <c r="F44" s="103">
        <v>0</v>
      </c>
      <c r="G44" s="103">
        <v>0</v>
      </c>
      <c r="H44" s="103">
        <v>0</v>
      </c>
      <c r="I44" s="103">
        <v>0</v>
      </c>
      <c r="J44" s="103">
        <v>0</v>
      </c>
      <c r="K44" s="104">
        <v>0</v>
      </c>
      <c r="L44" s="104">
        <v>0</v>
      </c>
      <c r="M44" s="104">
        <v>0</v>
      </c>
      <c r="N44" s="104">
        <v>0</v>
      </c>
      <c r="O44" s="104">
        <v>0</v>
      </c>
      <c r="P44" s="104">
        <v>0</v>
      </c>
      <c r="Q44" s="104">
        <v>0</v>
      </c>
      <c r="R44" s="104">
        <v>0</v>
      </c>
      <c r="S44" s="104">
        <v>0</v>
      </c>
      <c r="T44" s="104">
        <v>0</v>
      </c>
      <c r="U44" s="104">
        <v>0</v>
      </c>
      <c r="V44" s="104">
        <v>0</v>
      </c>
      <c r="W44" s="104">
        <v>0</v>
      </c>
      <c r="X44" s="104">
        <v>0</v>
      </c>
      <c r="Y44" s="104">
        <v>0</v>
      </c>
      <c r="Z44" s="104">
        <v>0</v>
      </c>
      <c r="AA44" s="104">
        <v>0</v>
      </c>
      <c r="AB44" s="103">
        <v>0</v>
      </c>
      <c r="AC44" s="103">
        <v>0</v>
      </c>
      <c r="AD44" s="103">
        <v>0</v>
      </c>
      <c r="AE44" s="103">
        <v>0</v>
      </c>
      <c r="AF44" s="103">
        <v>0</v>
      </c>
      <c r="AG44" s="103">
        <v>0</v>
      </c>
      <c r="AH44" s="103">
        <v>0</v>
      </c>
      <c r="AI44" s="103">
        <v>0</v>
      </c>
      <c r="AJ44" s="18">
        <v>0</v>
      </c>
    </row>
    <row r="45" spans="2:36" ht="15" thickTop="1" x14ac:dyDescent="0.35">
      <c r="B45" s="242" t="s">
        <v>134</v>
      </c>
      <c r="C45" s="244" t="s">
        <v>359</v>
      </c>
      <c r="D45" s="99"/>
      <c r="E45" s="262" t="s">
        <v>30</v>
      </c>
      <c r="F45" s="263"/>
      <c r="G45" s="263"/>
      <c r="H45" s="263"/>
      <c r="I45" s="263"/>
      <c r="J45" s="263"/>
      <c r="K45" s="263" t="s">
        <v>360</v>
      </c>
      <c r="L45" s="263"/>
      <c r="M45" s="263"/>
      <c r="N45" s="263"/>
      <c r="O45" s="263"/>
      <c r="P45" s="263"/>
      <c r="Q45" s="263"/>
      <c r="R45" s="263"/>
      <c r="S45" s="263"/>
      <c r="T45" s="263"/>
      <c r="U45" s="263"/>
      <c r="V45" s="263"/>
      <c r="W45" s="263"/>
      <c r="X45" s="263" t="s">
        <v>361</v>
      </c>
      <c r="Y45" s="263"/>
      <c r="Z45" s="263"/>
      <c r="AA45" s="263"/>
      <c r="AB45" s="263"/>
      <c r="AC45" s="263"/>
      <c r="AD45" s="263"/>
      <c r="AE45" s="263"/>
      <c r="AF45" s="263"/>
      <c r="AG45" s="263"/>
      <c r="AH45" s="263"/>
      <c r="AI45" s="263"/>
      <c r="AJ45" s="264"/>
    </row>
    <row r="46" spans="2:36" ht="15" thickBot="1" x14ac:dyDescent="0.4">
      <c r="B46" s="243"/>
      <c r="C46" s="245"/>
      <c r="D46" s="102"/>
      <c r="E46" s="17">
        <v>0</v>
      </c>
      <c r="F46" s="103">
        <v>0</v>
      </c>
      <c r="G46" s="103">
        <v>0</v>
      </c>
      <c r="H46" s="103">
        <v>0</v>
      </c>
      <c r="I46" s="103">
        <v>0</v>
      </c>
      <c r="J46" s="103">
        <v>0</v>
      </c>
      <c r="K46" s="103">
        <v>0</v>
      </c>
      <c r="L46" s="103">
        <v>0</v>
      </c>
      <c r="M46" s="103">
        <v>0</v>
      </c>
      <c r="N46" s="103">
        <v>0</v>
      </c>
      <c r="O46" s="103">
        <v>0</v>
      </c>
      <c r="P46" s="103">
        <v>0</v>
      </c>
      <c r="Q46" s="103">
        <v>0</v>
      </c>
      <c r="R46" s="103">
        <v>0</v>
      </c>
      <c r="S46" s="103">
        <v>0</v>
      </c>
      <c r="T46" s="103">
        <v>0</v>
      </c>
      <c r="U46" s="103">
        <v>0</v>
      </c>
      <c r="V46" s="103">
        <v>0</v>
      </c>
      <c r="W46" s="103">
        <v>0</v>
      </c>
      <c r="X46" s="103">
        <v>0</v>
      </c>
      <c r="Y46" s="103">
        <v>0</v>
      </c>
      <c r="Z46" s="103">
        <v>0</v>
      </c>
      <c r="AA46" s="103">
        <v>0</v>
      </c>
      <c r="AB46" s="103">
        <v>0</v>
      </c>
      <c r="AC46" s="103">
        <v>0</v>
      </c>
      <c r="AD46" s="103">
        <v>0</v>
      </c>
      <c r="AE46" s="103">
        <v>0</v>
      </c>
      <c r="AF46" s="103">
        <v>0</v>
      </c>
      <c r="AG46" s="103">
        <v>0</v>
      </c>
      <c r="AH46" s="103">
        <v>0</v>
      </c>
      <c r="AI46" s="103">
        <v>0</v>
      </c>
      <c r="AJ46" s="18">
        <v>0</v>
      </c>
    </row>
    <row r="47" spans="2:36" ht="15" thickTop="1" x14ac:dyDescent="0.35">
      <c r="B47" s="242" t="s">
        <v>135</v>
      </c>
      <c r="C47" s="244" t="s">
        <v>362</v>
      </c>
      <c r="D47" s="99"/>
      <c r="E47" s="262" t="s">
        <v>31</v>
      </c>
      <c r="F47" s="263"/>
      <c r="G47" s="263"/>
      <c r="H47" s="263"/>
      <c r="I47" s="263"/>
      <c r="J47" s="263"/>
      <c r="K47" s="263" t="s">
        <v>363</v>
      </c>
      <c r="L47" s="263"/>
      <c r="M47" s="263"/>
      <c r="N47" s="263"/>
      <c r="O47" s="263"/>
      <c r="P47" s="263"/>
      <c r="Q47" s="263"/>
      <c r="R47" s="263"/>
      <c r="S47" s="263"/>
      <c r="T47" s="263"/>
      <c r="U47" s="263"/>
      <c r="V47" s="263"/>
      <c r="W47" s="263"/>
      <c r="X47" s="263" t="s">
        <v>364</v>
      </c>
      <c r="Y47" s="263"/>
      <c r="Z47" s="263"/>
      <c r="AA47" s="263"/>
      <c r="AB47" s="263"/>
      <c r="AC47" s="263"/>
      <c r="AD47" s="263"/>
      <c r="AE47" s="263"/>
      <c r="AF47" s="263"/>
      <c r="AG47" s="263"/>
      <c r="AH47" s="263"/>
      <c r="AI47" s="263"/>
      <c r="AJ47" s="264"/>
    </row>
    <row r="48" spans="2:36" ht="15" thickBot="1" x14ac:dyDescent="0.4">
      <c r="B48" s="243"/>
      <c r="C48" s="245"/>
      <c r="D48" s="102"/>
      <c r="E48" s="17">
        <v>0</v>
      </c>
      <c r="F48" s="103">
        <v>0</v>
      </c>
      <c r="G48" s="103">
        <v>0</v>
      </c>
      <c r="H48" s="103">
        <v>0</v>
      </c>
      <c r="I48" s="103">
        <v>0</v>
      </c>
      <c r="J48" s="103">
        <v>0</v>
      </c>
      <c r="K48" s="103">
        <v>0</v>
      </c>
      <c r="L48" s="103">
        <v>0</v>
      </c>
      <c r="M48" s="103">
        <v>0</v>
      </c>
      <c r="N48" s="103">
        <v>0</v>
      </c>
      <c r="O48" s="103">
        <v>0</v>
      </c>
      <c r="P48" s="103">
        <v>0</v>
      </c>
      <c r="Q48" s="103">
        <v>0</v>
      </c>
      <c r="R48" s="103">
        <v>0</v>
      </c>
      <c r="S48" s="103">
        <v>0</v>
      </c>
      <c r="T48" s="103">
        <v>0</v>
      </c>
      <c r="U48" s="103">
        <v>0</v>
      </c>
      <c r="V48" s="103">
        <v>0</v>
      </c>
      <c r="W48" s="103">
        <v>0</v>
      </c>
      <c r="X48" s="103">
        <v>0</v>
      </c>
      <c r="Y48" s="103">
        <v>0</v>
      </c>
      <c r="Z48" s="103">
        <v>0</v>
      </c>
      <c r="AA48" s="103">
        <v>0</v>
      </c>
      <c r="AB48" s="103">
        <v>0</v>
      </c>
      <c r="AC48" s="103">
        <v>0</v>
      </c>
      <c r="AD48" s="103">
        <v>0</v>
      </c>
      <c r="AE48" s="103">
        <v>0</v>
      </c>
      <c r="AF48" s="103">
        <v>0</v>
      </c>
      <c r="AG48" s="103">
        <v>0</v>
      </c>
      <c r="AH48" s="103">
        <v>0</v>
      </c>
      <c r="AI48" s="103">
        <v>0</v>
      </c>
      <c r="AJ48" s="18">
        <v>0</v>
      </c>
    </row>
    <row r="49" spans="2:36" ht="15" thickTop="1" x14ac:dyDescent="0.35">
      <c r="B49" s="242" t="s">
        <v>136</v>
      </c>
      <c r="C49" s="244" t="s">
        <v>365</v>
      </c>
      <c r="D49" s="99"/>
      <c r="E49" s="262" t="s">
        <v>33</v>
      </c>
      <c r="F49" s="263"/>
      <c r="G49" s="263"/>
      <c r="H49" s="263"/>
      <c r="I49" s="263"/>
      <c r="J49" s="263"/>
      <c r="K49" s="263" t="s">
        <v>366</v>
      </c>
      <c r="L49" s="263"/>
      <c r="M49" s="263"/>
      <c r="N49" s="263"/>
      <c r="O49" s="263"/>
      <c r="P49" s="263"/>
      <c r="Q49" s="263"/>
      <c r="R49" s="263"/>
      <c r="S49" s="263"/>
      <c r="T49" s="263"/>
      <c r="U49" s="263"/>
      <c r="V49" s="263"/>
      <c r="W49" s="263"/>
      <c r="X49" s="263" t="s">
        <v>367</v>
      </c>
      <c r="Y49" s="263"/>
      <c r="Z49" s="263"/>
      <c r="AA49" s="263"/>
      <c r="AB49" s="263"/>
      <c r="AC49" s="263"/>
      <c r="AD49" s="263"/>
      <c r="AE49" s="263"/>
      <c r="AF49" s="263"/>
      <c r="AG49" s="263"/>
      <c r="AH49" s="263"/>
      <c r="AI49" s="263"/>
      <c r="AJ49" s="264"/>
    </row>
    <row r="50" spans="2:36" ht="15" thickBot="1" x14ac:dyDescent="0.4">
      <c r="B50" s="243"/>
      <c r="C50" s="245"/>
      <c r="D50" s="102"/>
      <c r="E50" s="17">
        <v>0</v>
      </c>
      <c r="F50" s="103">
        <v>0</v>
      </c>
      <c r="G50" s="103">
        <v>0</v>
      </c>
      <c r="H50" s="103">
        <v>0</v>
      </c>
      <c r="I50" s="103">
        <v>0</v>
      </c>
      <c r="J50" s="103">
        <v>0</v>
      </c>
      <c r="K50" s="103">
        <v>0</v>
      </c>
      <c r="L50" s="103">
        <v>0</v>
      </c>
      <c r="M50" s="103">
        <v>0</v>
      </c>
      <c r="N50" s="103">
        <v>0</v>
      </c>
      <c r="O50" s="103">
        <v>0</v>
      </c>
      <c r="P50" s="103">
        <v>0</v>
      </c>
      <c r="Q50" s="103">
        <v>0</v>
      </c>
      <c r="R50" s="103">
        <v>0</v>
      </c>
      <c r="S50" s="103">
        <v>0</v>
      </c>
      <c r="T50" s="103">
        <v>0</v>
      </c>
      <c r="U50" s="103">
        <v>0</v>
      </c>
      <c r="V50" s="103">
        <v>0</v>
      </c>
      <c r="W50" s="103">
        <v>0</v>
      </c>
      <c r="X50" s="103">
        <v>0</v>
      </c>
      <c r="Y50" s="103">
        <v>0</v>
      </c>
      <c r="Z50" s="103">
        <v>0</v>
      </c>
      <c r="AA50" s="103">
        <v>0</v>
      </c>
      <c r="AB50" s="103">
        <v>0</v>
      </c>
      <c r="AC50" s="103">
        <v>0</v>
      </c>
      <c r="AD50" s="103">
        <v>0</v>
      </c>
      <c r="AE50" s="103">
        <v>0</v>
      </c>
      <c r="AF50" s="103">
        <v>0</v>
      </c>
      <c r="AG50" s="103">
        <v>0</v>
      </c>
      <c r="AH50" s="103">
        <v>0</v>
      </c>
      <c r="AI50" s="103">
        <v>0</v>
      </c>
      <c r="AJ50" s="18">
        <v>0</v>
      </c>
    </row>
    <row r="51" spans="2:36" ht="15" thickTop="1" x14ac:dyDescent="0.35">
      <c r="B51" s="242" t="s">
        <v>137</v>
      </c>
      <c r="C51" s="244" t="s">
        <v>368</v>
      </c>
      <c r="D51" s="99"/>
      <c r="E51" s="262" t="s">
        <v>34</v>
      </c>
      <c r="F51" s="263"/>
      <c r="G51" s="263"/>
      <c r="H51" s="263"/>
      <c r="I51" s="263"/>
      <c r="J51" s="263"/>
      <c r="K51" s="263" t="s">
        <v>369</v>
      </c>
      <c r="L51" s="263"/>
      <c r="M51" s="263"/>
      <c r="N51" s="263"/>
      <c r="O51" s="263"/>
      <c r="P51" s="263"/>
      <c r="Q51" s="263"/>
      <c r="R51" s="263"/>
      <c r="S51" s="263"/>
      <c r="T51" s="263"/>
      <c r="U51" s="263"/>
      <c r="V51" s="263"/>
      <c r="W51" s="263"/>
      <c r="X51" s="263" t="s">
        <v>370</v>
      </c>
      <c r="Y51" s="263"/>
      <c r="Z51" s="263"/>
      <c r="AA51" s="263"/>
      <c r="AB51" s="263"/>
      <c r="AC51" s="263"/>
      <c r="AD51" s="263"/>
      <c r="AE51" s="263"/>
      <c r="AF51" s="263"/>
      <c r="AG51" s="263"/>
      <c r="AH51" s="263"/>
      <c r="AI51" s="263"/>
      <c r="AJ51" s="264"/>
    </row>
    <row r="52" spans="2:36" ht="15" thickBot="1" x14ac:dyDescent="0.4">
      <c r="B52" s="243"/>
      <c r="C52" s="245"/>
      <c r="D52" s="102"/>
      <c r="E52" s="17">
        <v>0</v>
      </c>
      <c r="F52" s="103">
        <v>0</v>
      </c>
      <c r="G52" s="103">
        <v>0</v>
      </c>
      <c r="H52" s="103">
        <v>0</v>
      </c>
      <c r="I52" s="103">
        <v>0</v>
      </c>
      <c r="J52" s="103">
        <v>0</v>
      </c>
      <c r="K52" s="103">
        <v>0</v>
      </c>
      <c r="L52" s="103">
        <v>0</v>
      </c>
      <c r="M52" s="103">
        <v>0</v>
      </c>
      <c r="N52" s="103">
        <v>0</v>
      </c>
      <c r="O52" s="103">
        <v>0</v>
      </c>
      <c r="P52" s="103">
        <v>0</v>
      </c>
      <c r="Q52" s="103">
        <v>0</v>
      </c>
      <c r="R52" s="103">
        <v>0</v>
      </c>
      <c r="S52" s="103">
        <v>0</v>
      </c>
      <c r="T52" s="103">
        <v>0</v>
      </c>
      <c r="U52" s="103">
        <v>0</v>
      </c>
      <c r="V52" s="103">
        <v>0</v>
      </c>
      <c r="W52" s="103">
        <v>0</v>
      </c>
      <c r="X52" s="103">
        <v>0</v>
      </c>
      <c r="Y52" s="103">
        <v>0</v>
      </c>
      <c r="Z52" s="103">
        <v>0</v>
      </c>
      <c r="AA52" s="103">
        <v>0</v>
      </c>
      <c r="AB52" s="103">
        <v>0</v>
      </c>
      <c r="AC52" s="103">
        <v>0</v>
      </c>
      <c r="AD52" s="103">
        <v>0</v>
      </c>
      <c r="AE52" s="103">
        <v>0</v>
      </c>
      <c r="AF52" s="103">
        <v>0</v>
      </c>
      <c r="AG52" s="103">
        <v>0</v>
      </c>
      <c r="AH52" s="103">
        <v>0</v>
      </c>
      <c r="AI52" s="103">
        <v>0</v>
      </c>
      <c r="AJ52" s="18">
        <v>0</v>
      </c>
    </row>
    <row r="53" spans="2:36" ht="15" thickTop="1" x14ac:dyDescent="0.35">
      <c r="B53" s="242" t="s">
        <v>138</v>
      </c>
      <c r="C53" s="244" t="s">
        <v>371</v>
      </c>
      <c r="D53" s="99"/>
      <c r="E53" s="262" t="s">
        <v>35</v>
      </c>
      <c r="F53" s="263"/>
      <c r="G53" s="263"/>
      <c r="H53" s="263"/>
      <c r="I53" s="263"/>
      <c r="J53" s="263"/>
      <c r="K53" s="263" t="s">
        <v>372</v>
      </c>
      <c r="L53" s="263"/>
      <c r="M53" s="263"/>
      <c r="N53" s="263"/>
      <c r="O53" s="263"/>
      <c r="P53" s="263"/>
      <c r="Q53" s="263"/>
      <c r="R53" s="263"/>
      <c r="S53" s="263"/>
      <c r="T53" s="263"/>
      <c r="U53" s="263"/>
      <c r="V53" s="263"/>
      <c r="W53" s="263"/>
      <c r="X53" s="263" t="s">
        <v>373</v>
      </c>
      <c r="Y53" s="263"/>
      <c r="Z53" s="263"/>
      <c r="AA53" s="263"/>
      <c r="AB53" s="263"/>
      <c r="AC53" s="263"/>
      <c r="AD53" s="263"/>
      <c r="AE53" s="263"/>
      <c r="AF53" s="263"/>
      <c r="AG53" s="263"/>
      <c r="AH53" s="263"/>
      <c r="AI53" s="263"/>
      <c r="AJ53" s="264"/>
    </row>
    <row r="54" spans="2:36" ht="15" thickBot="1" x14ac:dyDescent="0.4">
      <c r="B54" s="243"/>
      <c r="C54" s="245"/>
      <c r="D54" s="102"/>
      <c r="E54" s="17">
        <v>0</v>
      </c>
      <c r="F54" s="103">
        <v>0</v>
      </c>
      <c r="G54" s="103">
        <v>0</v>
      </c>
      <c r="H54" s="103">
        <v>0</v>
      </c>
      <c r="I54" s="103">
        <v>0</v>
      </c>
      <c r="J54" s="103">
        <v>0</v>
      </c>
      <c r="K54" s="103">
        <v>0</v>
      </c>
      <c r="L54" s="103">
        <v>0</v>
      </c>
      <c r="M54" s="103">
        <v>0</v>
      </c>
      <c r="N54" s="103">
        <v>0</v>
      </c>
      <c r="O54" s="103">
        <v>0</v>
      </c>
      <c r="P54" s="103">
        <v>0</v>
      </c>
      <c r="Q54" s="103">
        <v>0</v>
      </c>
      <c r="R54" s="103">
        <v>0</v>
      </c>
      <c r="S54" s="103">
        <v>0</v>
      </c>
      <c r="T54" s="103">
        <v>0</v>
      </c>
      <c r="U54" s="103">
        <v>0</v>
      </c>
      <c r="V54" s="103">
        <v>0</v>
      </c>
      <c r="W54" s="103">
        <v>0</v>
      </c>
      <c r="X54" s="103">
        <v>0</v>
      </c>
      <c r="Y54" s="103">
        <v>0</v>
      </c>
      <c r="Z54" s="103">
        <v>0</v>
      </c>
      <c r="AA54" s="103">
        <v>0</v>
      </c>
      <c r="AB54" s="103">
        <v>0</v>
      </c>
      <c r="AC54" s="103">
        <v>0</v>
      </c>
      <c r="AD54" s="103">
        <v>0</v>
      </c>
      <c r="AE54" s="103">
        <v>0</v>
      </c>
      <c r="AF54" s="103">
        <v>0</v>
      </c>
      <c r="AG54" s="103">
        <v>0</v>
      </c>
      <c r="AH54" s="103">
        <v>0</v>
      </c>
      <c r="AI54" s="103">
        <v>0</v>
      </c>
      <c r="AJ54" s="18">
        <v>0</v>
      </c>
    </row>
    <row r="55" spans="2:36" ht="15" thickTop="1" x14ac:dyDescent="0.35">
      <c r="B55" s="242" t="s">
        <v>139</v>
      </c>
      <c r="C55" s="244" t="s">
        <v>374</v>
      </c>
      <c r="D55" s="99"/>
      <c r="E55" s="262" t="s">
        <v>36</v>
      </c>
      <c r="F55" s="263"/>
      <c r="G55" s="263"/>
      <c r="H55" s="263"/>
      <c r="I55" s="263"/>
      <c r="J55" s="263"/>
      <c r="K55" s="263" t="s">
        <v>375</v>
      </c>
      <c r="L55" s="263"/>
      <c r="M55" s="263"/>
      <c r="N55" s="263"/>
      <c r="O55" s="263"/>
      <c r="P55" s="263"/>
      <c r="Q55" s="263"/>
      <c r="R55" s="263"/>
      <c r="S55" s="263"/>
      <c r="T55" s="263"/>
      <c r="U55" s="263"/>
      <c r="V55" s="263"/>
      <c r="W55" s="263"/>
      <c r="X55" s="263" t="s">
        <v>376</v>
      </c>
      <c r="Y55" s="263"/>
      <c r="Z55" s="263"/>
      <c r="AA55" s="263"/>
      <c r="AB55" s="263"/>
      <c r="AC55" s="263"/>
      <c r="AD55" s="263"/>
      <c r="AE55" s="263"/>
      <c r="AF55" s="263"/>
      <c r="AG55" s="263"/>
      <c r="AH55" s="263"/>
      <c r="AI55" s="263"/>
      <c r="AJ55" s="264"/>
    </row>
    <row r="56" spans="2:36" ht="15" thickBot="1" x14ac:dyDescent="0.4">
      <c r="B56" s="243"/>
      <c r="C56" s="245"/>
      <c r="D56" s="102"/>
      <c r="E56" s="17">
        <v>0</v>
      </c>
      <c r="F56" s="103">
        <v>0</v>
      </c>
      <c r="G56" s="103">
        <v>0</v>
      </c>
      <c r="H56" s="103">
        <v>0</v>
      </c>
      <c r="I56" s="103">
        <v>0</v>
      </c>
      <c r="J56" s="103">
        <v>0</v>
      </c>
      <c r="K56" s="103">
        <v>0</v>
      </c>
      <c r="L56" s="103">
        <v>0</v>
      </c>
      <c r="M56" s="103">
        <v>0</v>
      </c>
      <c r="N56" s="103">
        <v>0</v>
      </c>
      <c r="O56" s="103">
        <v>0</v>
      </c>
      <c r="P56" s="103">
        <v>0</v>
      </c>
      <c r="Q56" s="103">
        <v>0</v>
      </c>
      <c r="R56" s="103">
        <v>0</v>
      </c>
      <c r="S56" s="103">
        <v>0</v>
      </c>
      <c r="T56" s="103">
        <v>0</v>
      </c>
      <c r="U56" s="103">
        <v>0</v>
      </c>
      <c r="V56" s="103">
        <v>0</v>
      </c>
      <c r="W56" s="103">
        <v>0</v>
      </c>
      <c r="X56" s="103">
        <v>0</v>
      </c>
      <c r="Y56" s="103">
        <v>0</v>
      </c>
      <c r="Z56" s="103">
        <v>0</v>
      </c>
      <c r="AA56" s="103">
        <v>0</v>
      </c>
      <c r="AB56" s="103">
        <v>0</v>
      </c>
      <c r="AC56" s="103">
        <v>0</v>
      </c>
      <c r="AD56" s="103">
        <v>0</v>
      </c>
      <c r="AE56" s="103">
        <v>0</v>
      </c>
      <c r="AF56" s="103">
        <v>0</v>
      </c>
      <c r="AG56" s="103">
        <v>0</v>
      </c>
      <c r="AH56" s="103">
        <v>0</v>
      </c>
      <c r="AI56" s="103">
        <v>0</v>
      </c>
      <c r="AJ56" s="18">
        <v>0</v>
      </c>
    </row>
    <row r="57" spans="2:36" ht="15" thickTop="1" x14ac:dyDescent="0.35">
      <c r="B57" s="242" t="s">
        <v>140</v>
      </c>
      <c r="C57" s="244" t="s">
        <v>377</v>
      </c>
      <c r="D57" s="99"/>
      <c r="E57" s="262" t="s">
        <v>37</v>
      </c>
      <c r="F57" s="263"/>
      <c r="G57" s="263"/>
      <c r="H57" s="263"/>
      <c r="I57" s="263"/>
      <c r="J57" s="263"/>
      <c r="K57" s="263" t="s">
        <v>378</v>
      </c>
      <c r="L57" s="263"/>
      <c r="M57" s="263"/>
      <c r="N57" s="263"/>
      <c r="O57" s="263"/>
      <c r="P57" s="263"/>
      <c r="Q57" s="263"/>
      <c r="R57" s="263"/>
      <c r="S57" s="263"/>
      <c r="T57" s="263"/>
      <c r="U57" s="263"/>
      <c r="V57" s="263"/>
      <c r="W57" s="263"/>
      <c r="X57" s="263" t="s">
        <v>379</v>
      </c>
      <c r="Y57" s="263"/>
      <c r="Z57" s="263"/>
      <c r="AA57" s="263"/>
      <c r="AB57" s="263"/>
      <c r="AC57" s="263"/>
      <c r="AD57" s="263"/>
      <c r="AE57" s="263"/>
      <c r="AF57" s="263"/>
      <c r="AG57" s="263"/>
      <c r="AH57" s="263"/>
      <c r="AI57" s="263"/>
      <c r="AJ57" s="264"/>
    </row>
    <row r="58" spans="2:36" ht="15" thickBot="1" x14ac:dyDescent="0.4">
      <c r="B58" s="243"/>
      <c r="C58" s="245"/>
      <c r="D58" s="102"/>
      <c r="E58" s="17">
        <v>0</v>
      </c>
      <c r="F58" s="103">
        <v>0</v>
      </c>
      <c r="G58" s="103">
        <v>0</v>
      </c>
      <c r="H58" s="103">
        <v>0</v>
      </c>
      <c r="I58" s="103">
        <v>0</v>
      </c>
      <c r="J58" s="103">
        <v>0</v>
      </c>
      <c r="K58" s="103">
        <v>0</v>
      </c>
      <c r="L58" s="103">
        <v>0</v>
      </c>
      <c r="M58" s="103">
        <v>0</v>
      </c>
      <c r="N58" s="103">
        <v>0</v>
      </c>
      <c r="O58" s="103">
        <v>0</v>
      </c>
      <c r="P58" s="103">
        <v>0</v>
      </c>
      <c r="Q58" s="103">
        <v>0</v>
      </c>
      <c r="R58" s="103">
        <v>0</v>
      </c>
      <c r="S58" s="103">
        <v>0</v>
      </c>
      <c r="T58" s="103">
        <v>0</v>
      </c>
      <c r="U58" s="103">
        <v>0</v>
      </c>
      <c r="V58" s="103">
        <v>0</v>
      </c>
      <c r="W58" s="103">
        <v>0</v>
      </c>
      <c r="X58" s="103">
        <v>0</v>
      </c>
      <c r="Y58" s="103">
        <v>0</v>
      </c>
      <c r="Z58" s="103">
        <v>0</v>
      </c>
      <c r="AA58" s="103">
        <v>0</v>
      </c>
      <c r="AB58" s="103">
        <v>0</v>
      </c>
      <c r="AC58" s="103">
        <v>0</v>
      </c>
      <c r="AD58" s="103">
        <v>0</v>
      </c>
      <c r="AE58" s="103">
        <v>0</v>
      </c>
      <c r="AF58" s="103">
        <v>0</v>
      </c>
      <c r="AG58" s="103">
        <v>0</v>
      </c>
      <c r="AH58" s="103">
        <v>0</v>
      </c>
      <c r="AI58" s="103">
        <v>0</v>
      </c>
      <c r="AJ58" s="18">
        <v>0</v>
      </c>
    </row>
    <row r="59" spans="2:36" ht="15" thickTop="1" x14ac:dyDescent="0.35">
      <c r="B59" s="242" t="s">
        <v>141</v>
      </c>
      <c r="C59" s="244" t="s">
        <v>380</v>
      </c>
      <c r="D59" s="99"/>
      <c r="E59" s="262" t="s">
        <v>38</v>
      </c>
      <c r="F59" s="263"/>
      <c r="G59" s="263"/>
      <c r="H59" s="263"/>
      <c r="I59" s="263"/>
      <c r="J59" s="263"/>
      <c r="K59" s="263" t="s">
        <v>381</v>
      </c>
      <c r="L59" s="263"/>
      <c r="M59" s="263"/>
      <c r="N59" s="263"/>
      <c r="O59" s="263"/>
      <c r="P59" s="263"/>
      <c r="Q59" s="263"/>
      <c r="R59" s="263"/>
      <c r="S59" s="263"/>
      <c r="T59" s="263"/>
      <c r="U59" s="263"/>
      <c r="V59" s="263"/>
      <c r="W59" s="263"/>
      <c r="X59" s="263" t="s">
        <v>382</v>
      </c>
      <c r="Y59" s="263"/>
      <c r="Z59" s="263"/>
      <c r="AA59" s="263"/>
      <c r="AB59" s="263"/>
      <c r="AC59" s="263"/>
      <c r="AD59" s="263"/>
      <c r="AE59" s="263"/>
      <c r="AF59" s="263"/>
      <c r="AG59" s="263"/>
      <c r="AH59" s="263"/>
      <c r="AI59" s="263"/>
      <c r="AJ59" s="264"/>
    </row>
    <row r="60" spans="2:36" ht="15" thickBot="1" x14ac:dyDescent="0.4">
      <c r="B60" s="243"/>
      <c r="C60" s="245"/>
      <c r="D60" s="102"/>
      <c r="E60" s="17">
        <v>0</v>
      </c>
      <c r="F60" s="103">
        <v>0</v>
      </c>
      <c r="G60" s="103">
        <v>0</v>
      </c>
      <c r="H60" s="103">
        <v>0</v>
      </c>
      <c r="I60" s="103">
        <v>0</v>
      </c>
      <c r="J60" s="103">
        <v>0</v>
      </c>
      <c r="K60" s="103">
        <v>0</v>
      </c>
      <c r="L60" s="103">
        <v>0</v>
      </c>
      <c r="M60" s="103">
        <v>0</v>
      </c>
      <c r="N60" s="103">
        <v>0</v>
      </c>
      <c r="O60" s="103">
        <v>0</v>
      </c>
      <c r="P60" s="103">
        <v>0</v>
      </c>
      <c r="Q60" s="103">
        <v>0</v>
      </c>
      <c r="R60" s="103">
        <v>0</v>
      </c>
      <c r="S60" s="103">
        <v>0</v>
      </c>
      <c r="T60" s="103">
        <v>0</v>
      </c>
      <c r="U60" s="103">
        <v>0</v>
      </c>
      <c r="V60" s="103">
        <v>0</v>
      </c>
      <c r="W60" s="103">
        <v>0</v>
      </c>
      <c r="X60" s="103">
        <v>0</v>
      </c>
      <c r="Y60" s="103">
        <v>0</v>
      </c>
      <c r="Z60" s="103">
        <v>0</v>
      </c>
      <c r="AA60" s="103">
        <v>0</v>
      </c>
      <c r="AB60" s="103">
        <v>0</v>
      </c>
      <c r="AC60" s="103">
        <v>0</v>
      </c>
      <c r="AD60" s="103">
        <v>0</v>
      </c>
      <c r="AE60" s="103">
        <v>0</v>
      </c>
      <c r="AF60" s="103">
        <v>0</v>
      </c>
      <c r="AG60" s="103">
        <v>0</v>
      </c>
      <c r="AH60" s="103">
        <v>0</v>
      </c>
      <c r="AI60" s="103">
        <v>0</v>
      </c>
      <c r="AJ60" s="18">
        <v>0</v>
      </c>
    </row>
    <row r="61" spans="2:36" ht="15" thickTop="1" x14ac:dyDescent="0.35">
      <c r="B61" s="242" t="s">
        <v>142</v>
      </c>
      <c r="C61" s="244" t="s">
        <v>383</v>
      </c>
      <c r="D61" s="99"/>
      <c r="E61" s="262" t="s">
        <v>39</v>
      </c>
      <c r="F61" s="263"/>
      <c r="G61" s="263"/>
      <c r="H61" s="263"/>
      <c r="I61" s="263"/>
      <c r="J61" s="263"/>
      <c r="K61" s="100"/>
      <c r="L61" s="100"/>
      <c r="M61" s="100"/>
      <c r="N61" s="101" t="s">
        <v>384</v>
      </c>
      <c r="O61" s="263" t="s">
        <v>385</v>
      </c>
      <c r="P61" s="263"/>
      <c r="Q61" s="263"/>
      <c r="R61" s="101" t="s">
        <v>386</v>
      </c>
      <c r="S61" s="263" t="s">
        <v>32</v>
      </c>
      <c r="T61" s="263"/>
      <c r="U61" s="263"/>
      <c r="V61" s="101" t="s">
        <v>387</v>
      </c>
      <c r="W61" s="101" t="s">
        <v>388</v>
      </c>
      <c r="X61" s="263" t="s">
        <v>389</v>
      </c>
      <c r="Y61" s="263"/>
      <c r="Z61" s="263"/>
      <c r="AA61" s="263"/>
      <c r="AB61" s="263"/>
      <c r="AC61" s="263"/>
      <c r="AD61" s="263"/>
      <c r="AE61" s="263"/>
      <c r="AF61" s="263"/>
      <c r="AG61" s="263"/>
      <c r="AH61" s="263"/>
      <c r="AI61" s="263"/>
      <c r="AJ61" s="264"/>
    </row>
    <row r="62" spans="2:36" ht="15" thickBot="1" x14ac:dyDescent="0.4">
      <c r="B62" s="243"/>
      <c r="C62" s="245"/>
      <c r="D62" s="102"/>
      <c r="E62" s="17">
        <v>0</v>
      </c>
      <c r="F62" s="103">
        <v>0</v>
      </c>
      <c r="G62" s="103">
        <v>0</v>
      </c>
      <c r="H62" s="103">
        <v>0</v>
      </c>
      <c r="I62" s="103">
        <v>0</v>
      </c>
      <c r="J62" s="103">
        <v>0</v>
      </c>
      <c r="K62" s="104">
        <v>0</v>
      </c>
      <c r="L62" s="104">
        <v>0</v>
      </c>
      <c r="M62" s="104">
        <v>0</v>
      </c>
      <c r="N62" s="103">
        <v>0</v>
      </c>
      <c r="O62" s="103">
        <v>0</v>
      </c>
      <c r="P62" s="103">
        <v>0</v>
      </c>
      <c r="Q62" s="103">
        <v>0</v>
      </c>
      <c r="R62" s="103">
        <v>0</v>
      </c>
      <c r="S62" s="103">
        <v>0</v>
      </c>
      <c r="T62" s="103">
        <v>0</v>
      </c>
      <c r="U62" s="103">
        <v>0</v>
      </c>
      <c r="V62" s="103">
        <v>0</v>
      </c>
      <c r="W62" s="103">
        <v>0</v>
      </c>
      <c r="X62" s="103">
        <v>0</v>
      </c>
      <c r="Y62" s="103">
        <v>0</v>
      </c>
      <c r="Z62" s="103">
        <v>0</v>
      </c>
      <c r="AA62" s="103">
        <v>0</v>
      </c>
      <c r="AB62" s="103">
        <v>0</v>
      </c>
      <c r="AC62" s="103">
        <v>0</v>
      </c>
      <c r="AD62" s="103">
        <v>0</v>
      </c>
      <c r="AE62" s="103">
        <v>0</v>
      </c>
      <c r="AF62" s="103">
        <v>0</v>
      </c>
      <c r="AG62" s="103">
        <v>0</v>
      </c>
      <c r="AH62" s="103">
        <v>0</v>
      </c>
      <c r="AI62" s="103">
        <v>0</v>
      </c>
      <c r="AJ62" s="18">
        <v>0</v>
      </c>
    </row>
    <row r="63" spans="2:36" ht="15" thickTop="1" x14ac:dyDescent="0.35">
      <c r="B63" s="242" t="s">
        <v>143</v>
      </c>
      <c r="C63" s="244" t="s">
        <v>390</v>
      </c>
      <c r="D63" s="99"/>
      <c r="E63" s="262" t="s">
        <v>40</v>
      </c>
      <c r="F63" s="263"/>
      <c r="G63" s="263"/>
      <c r="H63" s="263"/>
      <c r="I63" s="263"/>
      <c r="J63" s="263"/>
      <c r="K63" s="263" t="s">
        <v>391</v>
      </c>
      <c r="L63" s="263"/>
      <c r="M63" s="263"/>
      <c r="N63" s="263"/>
      <c r="O63" s="263"/>
      <c r="P63" s="263"/>
      <c r="Q63" s="263"/>
      <c r="R63" s="263"/>
      <c r="S63" s="263"/>
      <c r="T63" s="263"/>
      <c r="U63" s="263"/>
      <c r="V63" s="263"/>
      <c r="W63" s="263"/>
      <c r="X63" s="263"/>
      <c r="Y63" s="263" t="s">
        <v>392</v>
      </c>
      <c r="Z63" s="263"/>
      <c r="AA63" s="263"/>
      <c r="AB63" s="263" t="s">
        <v>393</v>
      </c>
      <c r="AC63" s="263"/>
      <c r="AD63" s="263"/>
      <c r="AE63" s="263"/>
      <c r="AF63" s="263"/>
      <c r="AG63" s="263"/>
      <c r="AH63" s="263"/>
      <c r="AI63" s="263"/>
      <c r="AJ63" s="264"/>
    </row>
    <row r="64" spans="2:36" ht="15" thickBot="1" x14ac:dyDescent="0.4">
      <c r="B64" s="243"/>
      <c r="C64" s="245"/>
      <c r="D64" s="102"/>
      <c r="E64" s="17">
        <v>0</v>
      </c>
      <c r="F64" s="103">
        <v>0</v>
      </c>
      <c r="G64" s="103">
        <v>0</v>
      </c>
      <c r="H64" s="103">
        <v>0</v>
      </c>
      <c r="I64" s="103">
        <v>0</v>
      </c>
      <c r="J64" s="103">
        <v>0</v>
      </c>
      <c r="K64" s="103">
        <v>0</v>
      </c>
      <c r="L64" s="103">
        <v>0</v>
      </c>
      <c r="M64" s="103">
        <v>0</v>
      </c>
      <c r="N64" s="103">
        <v>0</v>
      </c>
      <c r="O64" s="103">
        <v>0</v>
      </c>
      <c r="P64" s="103">
        <v>0</v>
      </c>
      <c r="Q64" s="103">
        <v>0</v>
      </c>
      <c r="R64" s="103">
        <v>0</v>
      </c>
      <c r="S64" s="103">
        <v>0</v>
      </c>
      <c r="T64" s="103">
        <v>0</v>
      </c>
      <c r="U64" s="103">
        <v>0</v>
      </c>
      <c r="V64" s="103">
        <v>0</v>
      </c>
      <c r="W64" s="103">
        <v>0</v>
      </c>
      <c r="X64" s="103">
        <v>0</v>
      </c>
      <c r="Y64" s="103">
        <v>0</v>
      </c>
      <c r="Z64" s="103">
        <v>0</v>
      </c>
      <c r="AA64" s="103">
        <v>0</v>
      </c>
      <c r="AB64" s="103">
        <v>0</v>
      </c>
      <c r="AC64" s="103">
        <v>0</v>
      </c>
      <c r="AD64" s="103">
        <v>0</v>
      </c>
      <c r="AE64" s="103">
        <v>0</v>
      </c>
      <c r="AF64" s="103">
        <v>0</v>
      </c>
      <c r="AG64" s="103">
        <v>0</v>
      </c>
      <c r="AH64" s="103">
        <v>0</v>
      </c>
      <c r="AI64" s="103">
        <v>0</v>
      </c>
      <c r="AJ64" s="18">
        <v>0</v>
      </c>
    </row>
    <row r="65" spans="2:36" ht="15" thickTop="1" x14ac:dyDescent="0.35">
      <c r="B65" s="242" t="s">
        <v>144</v>
      </c>
      <c r="C65" s="244" t="s">
        <v>394</v>
      </c>
      <c r="D65" s="99"/>
      <c r="E65" s="262" t="s">
        <v>41</v>
      </c>
      <c r="F65" s="263"/>
      <c r="G65" s="263"/>
      <c r="H65" s="263"/>
      <c r="I65" s="263"/>
      <c r="J65" s="263"/>
      <c r="K65" s="100"/>
      <c r="L65" s="101" t="s">
        <v>395</v>
      </c>
      <c r="M65" s="263" t="s">
        <v>13</v>
      </c>
      <c r="N65" s="263"/>
      <c r="O65" s="263"/>
      <c r="P65" s="263"/>
      <c r="Q65" s="263"/>
      <c r="R65" s="263"/>
      <c r="S65" s="263"/>
      <c r="T65" s="263"/>
      <c r="U65" s="263"/>
      <c r="V65" s="263"/>
      <c r="W65" s="263"/>
      <c r="X65" s="263"/>
      <c r="Y65" s="263" t="s">
        <v>14</v>
      </c>
      <c r="Z65" s="263"/>
      <c r="AA65" s="263"/>
      <c r="AB65" s="263"/>
      <c r="AC65" s="263"/>
      <c r="AD65" s="263"/>
      <c r="AE65" s="263"/>
      <c r="AF65" s="263"/>
      <c r="AG65" s="263"/>
      <c r="AH65" s="263"/>
      <c r="AI65" s="263"/>
      <c r="AJ65" s="264"/>
    </row>
    <row r="66" spans="2:36" ht="15" thickBot="1" x14ac:dyDescent="0.4">
      <c r="B66" s="243"/>
      <c r="C66" s="245"/>
      <c r="D66" s="102"/>
      <c r="E66" s="17">
        <v>0</v>
      </c>
      <c r="F66" s="103">
        <v>0</v>
      </c>
      <c r="G66" s="103">
        <v>0</v>
      </c>
      <c r="H66" s="103">
        <v>0</v>
      </c>
      <c r="I66" s="103">
        <v>0</v>
      </c>
      <c r="J66" s="103">
        <v>0</v>
      </c>
      <c r="K66" s="104">
        <v>0</v>
      </c>
      <c r="L66" s="103">
        <v>0</v>
      </c>
      <c r="M66" s="103">
        <v>0</v>
      </c>
      <c r="N66" s="103">
        <v>0</v>
      </c>
      <c r="O66" s="103">
        <v>0</v>
      </c>
      <c r="P66" s="103">
        <v>0</v>
      </c>
      <c r="Q66" s="103">
        <v>0</v>
      </c>
      <c r="R66" s="103">
        <v>0</v>
      </c>
      <c r="S66" s="103">
        <v>0</v>
      </c>
      <c r="T66" s="103">
        <v>0</v>
      </c>
      <c r="U66" s="103">
        <v>0</v>
      </c>
      <c r="V66" s="103">
        <v>0</v>
      </c>
      <c r="W66" s="103">
        <v>0</v>
      </c>
      <c r="X66" s="103">
        <v>0</v>
      </c>
      <c r="Y66" s="103">
        <v>0</v>
      </c>
      <c r="Z66" s="103">
        <v>0</v>
      </c>
      <c r="AA66" s="103">
        <v>0</v>
      </c>
      <c r="AB66" s="103">
        <v>0</v>
      </c>
      <c r="AC66" s="103">
        <v>0</v>
      </c>
      <c r="AD66" s="103">
        <v>0</v>
      </c>
      <c r="AE66" s="103">
        <v>0</v>
      </c>
      <c r="AF66" s="103">
        <v>0</v>
      </c>
      <c r="AG66" s="103">
        <v>0</v>
      </c>
      <c r="AH66" s="103">
        <v>0</v>
      </c>
      <c r="AI66" s="103">
        <v>0</v>
      </c>
      <c r="AJ66" s="18">
        <v>0</v>
      </c>
    </row>
    <row r="67" spans="2:36" ht="15" thickTop="1" x14ac:dyDescent="0.35">
      <c r="B67" s="242" t="s">
        <v>145</v>
      </c>
      <c r="C67" s="244" t="s">
        <v>396</v>
      </c>
      <c r="D67" s="99"/>
      <c r="E67" s="262" t="s">
        <v>43</v>
      </c>
      <c r="F67" s="263"/>
      <c r="G67" s="263"/>
      <c r="H67" s="263"/>
      <c r="I67" s="263"/>
      <c r="J67" s="263"/>
      <c r="K67" s="100"/>
      <c r="L67" s="100"/>
      <c r="M67" s="100"/>
      <c r="N67" s="100"/>
      <c r="O67" s="100"/>
      <c r="P67" s="100"/>
      <c r="Q67" s="101" t="s">
        <v>397</v>
      </c>
      <c r="R67" s="263" t="s">
        <v>398</v>
      </c>
      <c r="S67" s="263"/>
      <c r="T67" s="263"/>
      <c r="U67" s="263"/>
      <c r="V67" s="263"/>
      <c r="W67" s="263"/>
      <c r="X67" s="263"/>
      <c r="Y67" s="263"/>
      <c r="Z67" s="101" t="s">
        <v>18</v>
      </c>
      <c r="AA67" s="101" t="s">
        <v>399</v>
      </c>
      <c r="AB67" s="101" t="s">
        <v>400</v>
      </c>
      <c r="AC67" s="263" t="s">
        <v>401</v>
      </c>
      <c r="AD67" s="263"/>
      <c r="AE67" s="263" t="s">
        <v>402</v>
      </c>
      <c r="AF67" s="263"/>
      <c r="AG67" s="263" t="s">
        <v>16</v>
      </c>
      <c r="AH67" s="263"/>
      <c r="AI67" s="263"/>
      <c r="AJ67" s="264"/>
    </row>
    <row r="68" spans="2:36" ht="15" thickBot="1" x14ac:dyDescent="0.4">
      <c r="B68" s="243"/>
      <c r="C68" s="245"/>
      <c r="D68" s="102"/>
      <c r="E68" s="17">
        <v>0</v>
      </c>
      <c r="F68" s="103">
        <v>0</v>
      </c>
      <c r="G68" s="103">
        <v>0</v>
      </c>
      <c r="H68" s="103">
        <v>0</v>
      </c>
      <c r="I68" s="103">
        <v>0</v>
      </c>
      <c r="J68" s="103">
        <v>0</v>
      </c>
      <c r="K68" s="104">
        <v>0</v>
      </c>
      <c r="L68" s="104">
        <v>0</v>
      </c>
      <c r="M68" s="104">
        <v>0</v>
      </c>
      <c r="N68" s="104">
        <v>0</v>
      </c>
      <c r="O68" s="104">
        <v>0</v>
      </c>
      <c r="P68" s="104">
        <v>0</v>
      </c>
      <c r="Q68" s="103">
        <v>0</v>
      </c>
      <c r="R68" s="103">
        <v>0</v>
      </c>
      <c r="S68" s="103">
        <v>0</v>
      </c>
      <c r="T68" s="103">
        <v>0</v>
      </c>
      <c r="U68" s="103">
        <v>0</v>
      </c>
      <c r="V68" s="103">
        <v>0</v>
      </c>
      <c r="W68" s="103">
        <v>0</v>
      </c>
      <c r="X68" s="103">
        <v>0</v>
      </c>
      <c r="Y68" s="103">
        <v>0</v>
      </c>
      <c r="Z68" s="103">
        <v>0</v>
      </c>
      <c r="AA68" s="103">
        <v>0</v>
      </c>
      <c r="AB68" s="103">
        <v>0</v>
      </c>
      <c r="AC68" s="103">
        <v>0</v>
      </c>
      <c r="AD68" s="103">
        <v>0</v>
      </c>
      <c r="AE68" s="103">
        <v>0</v>
      </c>
      <c r="AF68" s="103">
        <v>0</v>
      </c>
      <c r="AG68" s="103">
        <v>0</v>
      </c>
      <c r="AH68" s="103">
        <v>0</v>
      </c>
      <c r="AI68" s="103">
        <v>0</v>
      </c>
      <c r="AJ68" s="18">
        <v>0</v>
      </c>
    </row>
    <row r="69" spans="2:36" ht="15" thickTop="1" x14ac:dyDescent="0.35">
      <c r="B69" s="242" t="s">
        <v>146</v>
      </c>
      <c r="C69" s="244" t="s">
        <v>403</v>
      </c>
      <c r="D69" s="99"/>
      <c r="E69" s="262" t="s">
        <v>45</v>
      </c>
      <c r="F69" s="263"/>
      <c r="G69" s="263"/>
      <c r="H69" s="263"/>
      <c r="I69" s="263"/>
      <c r="J69" s="263"/>
      <c r="K69" s="100"/>
      <c r="L69" s="100"/>
      <c r="M69" s="263" t="s">
        <v>404</v>
      </c>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4"/>
    </row>
    <row r="70" spans="2:36" ht="15" thickBot="1" x14ac:dyDescent="0.4">
      <c r="B70" s="243"/>
      <c r="C70" s="245"/>
      <c r="D70" s="102"/>
      <c r="E70" s="17">
        <v>0</v>
      </c>
      <c r="F70" s="103">
        <v>0</v>
      </c>
      <c r="G70" s="103">
        <v>0</v>
      </c>
      <c r="H70" s="103">
        <v>0</v>
      </c>
      <c r="I70" s="103">
        <v>0</v>
      </c>
      <c r="J70" s="103">
        <v>0</v>
      </c>
      <c r="K70" s="104">
        <v>0</v>
      </c>
      <c r="L70" s="104">
        <v>0</v>
      </c>
      <c r="M70" s="103">
        <v>0</v>
      </c>
      <c r="N70" s="103">
        <v>0</v>
      </c>
      <c r="O70" s="103">
        <v>0</v>
      </c>
      <c r="P70" s="103">
        <v>0</v>
      </c>
      <c r="Q70" s="103">
        <v>0</v>
      </c>
      <c r="R70" s="103">
        <v>0</v>
      </c>
      <c r="S70" s="103">
        <v>0</v>
      </c>
      <c r="T70" s="103">
        <v>0</v>
      </c>
      <c r="U70" s="103">
        <v>0</v>
      </c>
      <c r="V70" s="103">
        <v>0</v>
      </c>
      <c r="W70" s="103">
        <v>0</v>
      </c>
      <c r="X70" s="103">
        <v>0</v>
      </c>
      <c r="Y70" s="103">
        <v>0</v>
      </c>
      <c r="Z70" s="103">
        <v>0</v>
      </c>
      <c r="AA70" s="103">
        <v>0</v>
      </c>
      <c r="AB70" s="103">
        <v>0</v>
      </c>
      <c r="AC70" s="103">
        <v>0</v>
      </c>
      <c r="AD70" s="103">
        <v>0</v>
      </c>
      <c r="AE70" s="103">
        <v>0</v>
      </c>
      <c r="AF70" s="103">
        <v>0</v>
      </c>
      <c r="AG70" s="103">
        <v>0</v>
      </c>
      <c r="AH70" s="103">
        <v>0</v>
      </c>
      <c r="AI70" s="103">
        <v>0</v>
      </c>
      <c r="AJ70" s="18">
        <v>0</v>
      </c>
    </row>
    <row r="71" spans="2:36" ht="15" customHeight="1" thickTop="1" x14ac:dyDescent="0.35">
      <c r="B71" s="216" t="s">
        <v>147</v>
      </c>
      <c r="C71" s="218" t="s">
        <v>47</v>
      </c>
      <c r="D71" s="105"/>
      <c r="E71" s="13"/>
      <c r="F71" s="63"/>
      <c r="G71" s="63"/>
      <c r="H71" s="63"/>
      <c r="I71" s="63"/>
      <c r="J71" s="63"/>
      <c r="K71" s="63"/>
      <c r="L71" s="63"/>
      <c r="M71" s="63"/>
      <c r="N71" s="63"/>
      <c r="O71" s="63"/>
      <c r="P71" s="63"/>
      <c r="Q71" s="63"/>
      <c r="R71" s="63"/>
      <c r="S71" s="63"/>
      <c r="T71" s="63"/>
      <c r="U71" s="63"/>
      <c r="V71" s="63"/>
      <c r="W71" s="63"/>
      <c r="X71" s="63"/>
      <c r="Y71" s="63"/>
      <c r="Z71" s="63"/>
      <c r="AA71" s="63"/>
      <c r="AB71" s="63"/>
      <c r="AC71" s="63"/>
      <c r="AD71" s="63"/>
      <c r="AE71" s="63"/>
      <c r="AF71" s="63"/>
      <c r="AG71" s="63"/>
      <c r="AH71" s="63"/>
      <c r="AI71" s="63"/>
      <c r="AJ71" s="5"/>
    </row>
    <row r="72" spans="2:36" ht="15" customHeight="1" thickBot="1" x14ac:dyDescent="0.4">
      <c r="B72" s="220"/>
      <c r="C72" s="221"/>
      <c r="D72" s="106"/>
      <c r="E72" s="19">
        <v>0</v>
      </c>
      <c r="F72" s="68">
        <v>0</v>
      </c>
      <c r="G72" s="68">
        <v>0</v>
      </c>
      <c r="H72" s="68">
        <v>0</v>
      </c>
      <c r="I72" s="68">
        <v>0</v>
      </c>
      <c r="J72" s="68">
        <v>0</v>
      </c>
      <c r="K72" s="68">
        <v>0</v>
      </c>
      <c r="L72" s="68">
        <v>0</v>
      </c>
      <c r="M72" s="68">
        <v>0</v>
      </c>
      <c r="N72" s="68">
        <v>0</v>
      </c>
      <c r="O72" s="68">
        <v>0</v>
      </c>
      <c r="P72" s="68">
        <v>0</v>
      </c>
      <c r="Q72" s="68">
        <v>0</v>
      </c>
      <c r="R72" s="68">
        <v>0</v>
      </c>
      <c r="S72" s="68">
        <v>0</v>
      </c>
      <c r="T72" s="68">
        <v>0</v>
      </c>
      <c r="U72" s="68">
        <v>0</v>
      </c>
      <c r="V72" s="68">
        <v>0</v>
      </c>
      <c r="W72" s="68">
        <v>0</v>
      </c>
      <c r="X72" s="68">
        <v>0</v>
      </c>
      <c r="Y72" s="68">
        <v>0</v>
      </c>
      <c r="Z72" s="68">
        <v>0</v>
      </c>
      <c r="AA72" s="68">
        <v>0</v>
      </c>
      <c r="AB72" s="68">
        <v>0</v>
      </c>
      <c r="AC72" s="68">
        <v>0</v>
      </c>
      <c r="AD72" s="68">
        <v>0</v>
      </c>
      <c r="AE72" s="68">
        <v>0</v>
      </c>
      <c r="AF72" s="68">
        <v>0</v>
      </c>
      <c r="AG72" s="68">
        <v>0</v>
      </c>
      <c r="AH72" s="68">
        <v>0</v>
      </c>
      <c r="AI72" s="68">
        <v>0</v>
      </c>
      <c r="AJ72" s="12">
        <v>0</v>
      </c>
    </row>
    <row r="73" spans="2:36" ht="15" thickTop="1" x14ac:dyDescent="0.35">
      <c r="B73" s="216" t="s">
        <v>148</v>
      </c>
      <c r="C73" s="218" t="s">
        <v>47</v>
      </c>
      <c r="D73" s="105"/>
      <c r="E73" s="1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5"/>
    </row>
    <row r="74" spans="2:36" ht="15" thickBot="1" x14ac:dyDescent="0.4">
      <c r="B74" s="220"/>
      <c r="C74" s="221"/>
      <c r="D74" s="106"/>
      <c r="E74" s="19">
        <v>0</v>
      </c>
      <c r="F74" s="68">
        <v>0</v>
      </c>
      <c r="G74" s="68">
        <v>0</v>
      </c>
      <c r="H74" s="68">
        <v>0</v>
      </c>
      <c r="I74" s="68">
        <v>0</v>
      </c>
      <c r="J74" s="68">
        <v>0</v>
      </c>
      <c r="K74" s="68">
        <v>0</v>
      </c>
      <c r="L74" s="68">
        <v>0</v>
      </c>
      <c r="M74" s="68">
        <v>0</v>
      </c>
      <c r="N74" s="68">
        <v>0</v>
      </c>
      <c r="O74" s="68">
        <v>0</v>
      </c>
      <c r="P74" s="68">
        <v>0</v>
      </c>
      <c r="Q74" s="68">
        <v>0</v>
      </c>
      <c r="R74" s="68">
        <v>0</v>
      </c>
      <c r="S74" s="68">
        <v>0</v>
      </c>
      <c r="T74" s="68">
        <v>0</v>
      </c>
      <c r="U74" s="68">
        <v>0</v>
      </c>
      <c r="V74" s="68">
        <v>0</v>
      </c>
      <c r="W74" s="68">
        <v>0</v>
      </c>
      <c r="X74" s="68">
        <v>0</v>
      </c>
      <c r="Y74" s="68">
        <v>0</v>
      </c>
      <c r="Z74" s="68">
        <v>0</v>
      </c>
      <c r="AA74" s="68">
        <v>0</v>
      </c>
      <c r="AB74" s="68">
        <v>0</v>
      </c>
      <c r="AC74" s="68">
        <v>0</v>
      </c>
      <c r="AD74" s="68">
        <v>0</v>
      </c>
      <c r="AE74" s="68">
        <v>0</v>
      </c>
      <c r="AF74" s="68">
        <v>0</v>
      </c>
      <c r="AG74" s="68">
        <v>0</v>
      </c>
      <c r="AH74" s="68">
        <v>0</v>
      </c>
      <c r="AI74" s="68">
        <v>0</v>
      </c>
      <c r="AJ74" s="12">
        <v>0</v>
      </c>
    </row>
    <row r="75" spans="2:36" ht="15" thickTop="1" x14ac:dyDescent="0.35">
      <c r="B75" s="216" t="s">
        <v>149</v>
      </c>
      <c r="C75" s="218" t="s">
        <v>47</v>
      </c>
      <c r="D75" s="105"/>
      <c r="E75" s="13"/>
      <c r="F75" s="63"/>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5"/>
    </row>
    <row r="76" spans="2:36" ht="15" thickBot="1" x14ac:dyDescent="0.4">
      <c r="B76" s="220"/>
      <c r="C76" s="221"/>
      <c r="D76" s="106"/>
      <c r="E76" s="19">
        <v>0</v>
      </c>
      <c r="F76" s="68">
        <v>0</v>
      </c>
      <c r="G76" s="68">
        <v>0</v>
      </c>
      <c r="H76" s="68">
        <v>0</v>
      </c>
      <c r="I76" s="68">
        <v>0</v>
      </c>
      <c r="J76" s="68">
        <v>0</v>
      </c>
      <c r="K76" s="68">
        <v>0</v>
      </c>
      <c r="L76" s="68">
        <v>0</v>
      </c>
      <c r="M76" s="68">
        <v>0</v>
      </c>
      <c r="N76" s="68">
        <v>0</v>
      </c>
      <c r="O76" s="68">
        <v>0</v>
      </c>
      <c r="P76" s="68">
        <v>0</v>
      </c>
      <c r="Q76" s="68">
        <v>0</v>
      </c>
      <c r="R76" s="68">
        <v>0</v>
      </c>
      <c r="S76" s="68">
        <v>0</v>
      </c>
      <c r="T76" s="68">
        <v>0</v>
      </c>
      <c r="U76" s="68">
        <v>0</v>
      </c>
      <c r="V76" s="68">
        <v>0</v>
      </c>
      <c r="W76" s="68">
        <v>0</v>
      </c>
      <c r="X76" s="68">
        <v>0</v>
      </c>
      <c r="Y76" s="68">
        <v>0</v>
      </c>
      <c r="Z76" s="68">
        <v>0</v>
      </c>
      <c r="AA76" s="68">
        <v>0</v>
      </c>
      <c r="AB76" s="68">
        <v>0</v>
      </c>
      <c r="AC76" s="68">
        <v>0</v>
      </c>
      <c r="AD76" s="68">
        <v>0</v>
      </c>
      <c r="AE76" s="68">
        <v>0</v>
      </c>
      <c r="AF76" s="68">
        <v>0</v>
      </c>
      <c r="AG76" s="68">
        <v>0</v>
      </c>
      <c r="AH76" s="68">
        <v>0</v>
      </c>
      <c r="AI76" s="68">
        <v>0</v>
      </c>
      <c r="AJ76" s="12">
        <v>0</v>
      </c>
    </row>
    <row r="77" spans="2:36" ht="15" thickTop="1" x14ac:dyDescent="0.35">
      <c r="B77" s="216" t="s">
        <v>150</v>
      </c>
      <c r="C77" s="218" t="s">
        <v>47</v>
      </c>
      <c r="D77" s="105"/>
      <c r="E77" s="13"/>
      <c r="F77" s="63"/>
      <c r="G77" s="63"/>
      <c r="H77" s="63"/>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5"/>
    </row>
    <row r="78" spans="2:36" ht="15" thickBot="1" x14ac:dyDescent="0.4">
      <c r="B78" s="220"/>
      <c r="C78" s="221"/>
      <c r="D78" s="106"/>
      <c r="E78" s="19">
        <v>0</v>
      </c>
      <c r="F78" s="68">
        <v>0</v>
      </c>
      <c r="G78" s="68">
        <v>0</v>
      </c>
      <c r="H78" s="68">
        <v>0</v>
      </c>
      <c r="I78" s="68">
        <v>0</v>
      </c>
      <c r="J78" s="68">
        <v>0</v>
      </c>
      <c r="K78" s="68">
        <v>0</v>
      </c>
      <c r="L78" s="68">
        <v>0</v>
      </c>
      <c r="M78" s="68">
        <v>0</v>
      </c>
      <c r="N78" s="68">
        <v>0</v>
      </c>
      <c r="O78" s="68">
        <v>0</v>
      </c>
      <c r="P78" s="68">
        <v>0</v>
      </c>
      <c r="Q78" s="68">
        <v>0</v>
      </c>
      <c r="R78" s="68">
        <v>0</v>
      </c>
      <c r="S78" s="68">
        <v>0</v>
      </c>
      <c r="T78" s="68">
        <v>0</v>
      </c>
      <c r="U78" s="68">
        <v>0</v>
      </c>
      <c r="V78" s="68">
        <v>0</v>
      </c>
      <c r="W78" s="68">
        <v>0</v>
      </c>
      <c r="X78" s="68">
        <v>0</v>
      </c>
      <c r="Y78" s="68">
        <v>0</v>
      </c>
      <c r="Z78" s="68">
        <v>0</v>
      </c>
      <c r="AA78" s="68">
        <v>0</v>
      </c>
      <c r="AB78" s="68">
        <v>0</v>
      </c>
      <c r="AC78" s="68">
        <v>0</v>
      </c>
      <c r="AD78" s="68">
        <v>0</v>
      </c>
      <c r="AE78" s="68">
        <v>0</v>
      </c>
      <c r="AF78" s="68">
        <v>0</v>
      </c>
      <c r="AG78" s="68">
        <v>0</v>
      </c>
      <c r="AH78" s="68">
        <v>0</v>
      </c>
      <c r="AI78" s="68">
        <v>0</v>
      </c>
      <c r="AJ78" s="12">
        <v>0</v>
      </c>
    </row>
    <row r="79" spans="2:36" ht="15" thickTop="1" x14ac:dyDescent="0.35">
      <c r="B79" s="238" t="s">
        <v>151</v>
      </c>
      <c r="C79" s="240" t="s">
        <v>405</v>
      </c>
      <c r="D79" s="113"/>
      <c r="E79" s="23"/>
      <c r="F79" s="114"/>
      <c r="G79" s="114"/>
      <c r="H79" s="114"/>
      <c r="I79" s="114"/>
      <c r="J79" s="114"/>
      <c r="K79" s="114"/>
      <c r="L79" s="114"/>
      <c r="M79" s="114"/>
      <c r="N79" s="114"/>
      <c r="O79" s="114"/>
      <c r="P79" s="114"/>
      <c r="Q79" s="114"/>
      <c r="R79" s="114"/>
      <c r="S79" s="115" t="s">
        <v>42</v>
      </c>
      <c r="T79" s="260" t="s">
        <v>268</v>
      </c>
      <c r="U79" s="260"/>
      <c r="V79" s="260" t="s">
        <v>269</v>
      </c>
      <c r="W79" s="260"/>
      <c r="X79" s="260" t="s">
        <v>270</v>
      </c>
      <c r="Y79" s="260"/>
      <c r="Z79" s="260" t="s">
        <v>271</v>
      </c>
      <c r="AA79" s="260"/>
      <c r="AB79" s="115" t="s">
        <v>272</v>
      </c>
      <c r="AC79" s="260" t="s">
        <v>273</v>
      </c>
      <c r="AD79" s="260"/>
      <c r="AE79" s="260"/>
      <c r="AF79" s="260"/>
      <c r="AG79" s="260" t="s">
        <v>44</v>
      </c>
      <c r="AH79" s="260"/>
      <c r="AI79" s="260"/>
      <c r="AJ79" s="261"/>
    </row>
    <row r="80" spans="2:36" ht="15" thickBot="1" x14ac:dyDescent="0.4">
      <c r="B80" s="239"/>
      <c r="C80" s="241"/>
      <c r="D80" s="116"/>
      <c r="E80" s="14">
        <v>0</v>
      </c>
      <c r="F80" s="64">
        <v>0</v>
      </c>
      <c r="G80" s="64">
        <v>0</v>
      </c>
      <c r="H80" s="64">
        <v>0</v>
      </c>
      <c r="I80" s="64">
        <v>0</v>
      </c>
      <c r="J80" s="64">
        <v>0</v>
      </c>
      <c r="K80" s="64">
        <v>0</v>
      </c>
      <c r="L80" s="64">
        <v>0</v>
      </c>
      <c r="M80" s="64">
        <v>0</v>
      </c>
      <c r="N80" s="64">
        <v>0</v>
      </c>
      <c r="O80" s="64">
        <v>0</v>
      </c>
      <c r="P80" s="64">
        <v>0</v>
      </c>
      <c r="Q80" s="64">
        <v>0</v>
      </c>
      <c r="R80" s="64">
        <v>0</v>
      </c>
      <c r="S80" s="40">
        <v>0</v>
      </c>
      <c r="T80" s="40">
        <v>0</v>
      </c>
      <c r="U80" s="40">
        <v>0</v>
      </c>
      <c r="V80" s="40">
        <v>0</v>
      </c>
      <c r="W80" s="40">
        <v>0</v>
      </c>
      <c r="X80" s="40">
        <v>0</v>
      </c>
      <c r="Y80" s="40">
        <v>0</v>
      </c>
      <c r="Z80" s="40">
        <v>0</v>
      </c>
      <c r="AA80" s="40">
        <v>0</v>
      </c>
      <c r="AB80" s="40">
        <v>0</v>
      </c>
      <c r="AC80" s="40">
        <v>0</v>
      </c>
      <c r="AD80" s="40">
        <v>0</v>
      </c>
      <c r="AE80" s="40">
        <v>1</v>
      </c>
      <c r="AF80" s="40">
        <v>0</v>
      </c>
      <c r="AG80" s="40">
        <v>0</v>
      </c>
      <c r="AH80" s="40">
        <v>0</v>
      </c>
      <c r="AI80" s="40">
        <v>1</v>
      </c>
      <c r="AJ80" s="41">
        <v>0</v>
      </c>
    </row>
    <row r="81" spans="2:36" ht="15" thickTop="1" x14ac:dyDescent="0.35">
      <c r="B81" s="238" t="s">
        <v>152</v>
      </c>
      <c r="C81" s="240" t="s">
        <v>406</v>
      </c>
      <c r="D81" s="113"/>
      <c r="E81" s="23"/>
      <c r="F81" s="114"/>
      <c r="G81" s="114"/>
      <c r="H81" s="114"/>
      <c r="I81" s="114"/>
      <c r="J81" s="114"/>
      <c r="K81" s="114"/>
      <c r="L81" s="114"/>
      <c r="M81" s="114"/>
      <c r="N81" s="114"/>
      <c r="O81" s="114"/>
      <c r="P81" s="114"/>
      <c r="Q81" s="114"/>
      <c r="R81" s="114"/>
      <c r="S81" s="114"/>
      <c r="T81" s="260" t="s">
        <v>275</v>
      </c>
      <c r="U81" s="260"/>
      <c r="V81" s="260"/>
      <c r="W81" s="260"/>
      <c r="X81" s="260"/>
      <c r="Y81" s="260"/>
      <c r="Z81" s="260"/>
      <c r="AA81" s="260"/>
      <c r="AB81" s="260"/>
      <c r="AC81" s="260"/>
      <c r="AD81" s="260"/>
      <c r="AE81" s="260"/>
      <c r="AF81" s="260"/>
      <c r="AG81" s="260"/>
      <c r="AH81" s="260"/>
      <c r="AI81" s="260"/>
      <c r="AJ81" s="261"/>
    </row>
    <row r="82" spans="2:36" ht="15" thickBot="1" x14ac:dyDescent="0.4">
      <c r="B82" s="239"/>
      <c r="C82" s="241"/>
      <c r="D82" s="116"/>
      <c r="E82" s="14">
        <v>0</v>
      </c>
      <c r="F82" s="64">
        <v>0</v>
      </c>
      <c r="G82" s="64">
        <v>0</v>
      </c>
      <c r="H82" s="64">
        <v>0</v>
      </c>
      <c r="I82" s="64">
        <v>0</v>
      </c>
      <c r="J82" s="64">
        <v>0</v>
      </c>
      <c r="K82" s="64">
        <v>0</v>
      </c>
      <c r="L82" s="64">
        <v>0</v>
      </c>
      <c r="M82" s="64">
        <v>0</v>
      </c>
      <c r="N82" s="64">
        <v>0</v>
      </c>
      <c r="O82" s="64">
        <v>0</v>
      </c>
      <c r="P82" s="64">
        <v>0</v>
      </c>
      <c r="Q82" s="64">
        <v>0</v>
      </c>
      <c r="R82" s="64">
        <v>0</v>
      </c>
      <c r="S82" s="64">
        <v>0</v>
      </c>
      <c r="T82" s="40">
        <v>0</v>
      </c>
      <c r="U82" s="40">
        <v>0</v>
      </c>
      <c r="V82" s="40">
        <v>0</v>
      </c>
      <c r="W82" s="40">
        <v>0</v>
      </c>
      <c r="X82" s="40">
        <v>0</v>
      </c>
      <c r="Y82" s="40">
        <v>0</v>
      </c>
      <c r="Z82" s="40">
        <v>0</v>
      </c>
      <c r="AA82" s="40">
        <v>0</v>
      </c>
      <c r="AB82" s="40">
        <v>0</v>
      </c>
      <c r="AC82" s="40">
        <v>0</v>
      </c>
      <c r="AD82" s="40">
        <v>0</v>
      </c>
      <c r="AE82" s="40">
        <v>0</v>
      </c>
      <c r="AF82" s="40">
        <v>0</v>
      </c>
      <c r="AG82" s="40">
        <v>0</v>
      </c>
      <c r="AH82" s="40">
        <v>0</v>
      </c>
      <c r="AI82" s="40">
        <v>0</v>
      </c>
      <c r="AJ82" s="41">
        <v>0</v>
      </c>
    </row>
    <row r="83" spans="2:36" ht="15" thickTop="1" x14ac:dyDescent="0.35">
      <c r="B83" s="238" t="s">
        <v>153</v>
      </c>
      <c r="C83" s="240" t="s">
        <v>407</v>
      </c>
      <c r="D83" s="113"/>
      <c r="E83" s="23"/>
      <c r="F83" s="114"/>
      <c r="G83" s="114"/>
      <c r="H83" s="114"/>
      <c r="I83" s="114"/>
      <c r="J83" s="114"/>
      <c r="K83" s="260" t="s">
        <v>408</v>
      </c>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c r="AI83" s="260"/>
      <c r="AJ83" s="261"/>
    </row>
    <row r="84" spans="2:36" ht="15" thickBot="1" x14ac:dyDescent="0.4">
      <c r="B84" s="239"/>
      <c r="C84" s="241"/>
      <c r="D84" s="116"/>
      <c r="E84" s="14">
        <v>0</v>
      </c>
      <c r="F84" s="64">
        <v>0</v>
      </c>
      <c r="G84" s="64">
        <v>0</v>
      </c>
      <c r="H84" s="64">
        <v>0</v>
      </c>
      <c r="I84" s="64">
        <v>0</v>
      </c>
      <c r="J84" s="64">
        <v>0</v>
      </c>
      <c r="K84" s="40">
        <v>0</v>
      </c>
      <c r="L84" s="40">
        <v>0</v>
      </c>
      <c r="M84" s="40">
        <v>0</v>
      </c>
      <c r="N84" s="40">
        <v>0</v>
      </c>
      <c r="O84" s="40">
        <v>0</v>
      </c>
      <c r="P84" s="40">
        <v>0</v>
      </c>
      <c r="Q84" s="40">
        <v>0</v>
      </c>
      <c r="R84" s="40">
        <v>0</v>
      </c>
      <c r="S84" s="40">
        <v>0</v>
      </c>
      <c r="T84" s="40">
        <v>0</v>
      </c>
      <c r="U84" s="40">
        <v>0</v>
      </c>
      <c r="V84" s="40">
        <v>0</v>
      </c>
      <c r="W84" s="40">
        <v>0</v>
      </c>
      <c r="X84" s="40">
        <v>0</v>
      </c>
      <c r="Y84" s="40">
        <v>0</v>
      </c>
      <c r="Z84" s="40">
        <v>0</v>
      </c>
      <c r="AA84" s="40">
        <v>0</v>
      </c>
      <c r="AB84" s="40">
        <v>0</v>
      </c>
      <c r="AC84" s="40">
        <v>0</v>
      </c>
      <c r="AD84" s="40">
        <v>0</v>
      </c>
      <c r="AE84" s="40">
        <v>0</v>
      </c>
      <c r="AF84" s="40">
        <v>0</v>
      </c>
      <c r="AG84" s="40">
        <v>0</v>
      </c>
      <c r="AH84" s="40">
        <v>0</v>
      </c>
      <c r="AI84" s="40">
        <v>0</v>
      </c>
      <c r="AJ84" s="41">
        <v>0</v>
      </c>
    </row>
    <row r="85" spans="2:36" ht="15" thickTop="1" x14ac:dyDescent="0.35">
      <c r="B85" s="238" t="s">
        <v>154</v>
      </c>
      <c r="C85" s="240" t="s">
        <v>409</v>
      </c>
      <c r="D85" s="113"/>
      <c r="E85" s="23"/>
      <c r="F85" s="114"/>
      <c r="G85" s="114"/>
      <c r="H85" s="114"/>
      <c r="I85" s="114"/>
      <c r="J85" s="114"/>
      <c r="K85" s="114"/>
      <c r="L85" s="260" t="s">
        <v>278</v>
      </c>
      <c r="M85" s="260"/>
      <c r="N85" s="260" t="s">
        <v>279</v>
      </c>
      <c r="O85" s="260"/>
      <c r="P85" s="260"/>
      <c r="Q85" s="260"/>
      <c r="R85" s="115" t="s">
        <v>280</v>
      </c>
      <c r="S85" s="115" t="s">
        <v>281</v>
      </c>
      <c r="T85" s="115" t="s">
        <v>282</v>
      </c>
      <c r="U85" s="260" t="s">
        <v>283</v>
      </c>
      <c r="V85" s="260"/>
      <c r="W85" s="260"/>
      <c r="X85" s="115" t="s">
        <v>284</v>
      </c>
      <c r="Y85" s="115" t="s">
        <v>285</v>
      </c>
      <c r="Z85" s="260" t="s">
        <v>286</v>
      </c>
      <c r="AA85" s="260"/>
      <c r="AB85" s="260"/>
      <c r="AC85" s="260"/>
      <c r="AD85" s="115" t="s">
        <v>287</v>
      </c>
      <c r="AE85" s="115" t="s">
        <v>288</v>
      </c>
      <c r="AF85" s="115" t="s">
        <v>289</v>
      </c>
      <c r="AG85" s="260" t="s">
        <v>290</v>
      </c>
      <c r="AH85" s="260"/>
      <c r="AI85" s="260" t="s">
        <v>291</v>
      </c>
      <c r="AJ85" s="261"/>
    </row>
    <row r="86" spans="2:36" ht="15" thickBot="1" x14ac:dyDescent="0.4">
      <c r="B86" s="239"/>
      <c r="C86" s="241"/>
      <c r="D86" s="116"/>
      <c r="E86" s="14">
        <v>0</v>
      </c>
      <c r="F86" s="64">
        <v>0</v>
      </c>
      <c r="G86" s="64">
        <v>0</v>
      </c>
      <c r="H86" s="64">
        <v>0</v>
      </c>
      <c r="I86" s="64">
        <v>0</v>
      </c>
      <c r="J86" s="64">
        <v>0</v>
      </c>
      <c r="K86" s="64">
        <v>0</v>
      </c>
      <c r="L86" s="40">
        <v>0</v>
      </c>
      <c r="M86" s="40">
        <v>0</v>
      </c>
      <c r="N86" s="40">
        <v>0</v>
      </c>
      <c r="O86" s="40">
        <v>0</v>
      </c>
      <c r="P86" s="40">
        <v>0</v>
      </c>
      <c r="Q86" s="40">
        <v>0</v>
      </c>
      <c r="R86" s="40">
        <v>0</v>
      </c>
      <c r="S86" s="40">
        <v>0</v>
      </c>
      <c r="T86" s="40">
        <v>0</v>
      </c>
      <c r="U86" s="40">
        <v>0</v>
      </c>
      <c r="V86" s="40">
        <v>0</v>
      </c>
      <c r="W86" s="40">
        <v>0</v>
      </c>
      <c r="X86" s="40">
        <v>0</v>
      </c>
      <c r="Y86" s="40">
        <v>0</v>
      </c>
      <c r="Z86" s="40">
        <v>1</v>
      </c>
      <c r="AA86" s="40">
        <v>0</v>
      </c>
      <c r="AB86" s="40">
        <v>0</v>
      </c>
      <c r="AC86" s="40">
        <v>1</v>
      </c>
      <c r="AD86" s="40">
        <v>1</v>
      </c>
      <c r="AE86" s="40">
        <v>0</v>
      </c>
      <c r="AF86" s="40">
        <v>0</v>
      </c>
      <c r="AG86" s="40">
        <v>0</v>
      </c>
      <c r="AH86" s="40">
        <v>0</v>
      </c>
      <c r="AI86" s="40">
        <v>0</v>
      </c>
      <c r="AJ86" s="41">
        <v>0</v>
      </c>
    </row>
    <row r="87" spans="2:36" ht="15" thickTop="1" x14ac:dyDescent="0.35">
      <c r="B87" s="238" t="s">
        <v>155</v>
      </c>
      <c r="C87" s="240" t="s">
        <v>410</v>
      </c>
      <c r="D87" s="113"/>
      <c r="E87" s="23"/>
      <c r="F87" s="114"/>
      <c r="G87" s="114"/>
      <c r="H87" s="114"/>
      <c r="I87" s="114"/>
      <c r="J87" s="114"/>
      <c r="K87" s="115" t="s">
        <v>293</v>
      </c>
      <c r="L87" s="115" t="s">
        <v>294</v>
      </c>
      <c r="M87" s="115" t="s">
        <v>295</v>
      </c>
      <c r="N87" s="115" t="s">
        <v>296</v>
      </c>
      <c r="O87" s="115" t="s">
        <v>297</v>
      </c>
      <c r="P87" s="115" t="s">
        <v>298</v>
      </c>
      <c r="Q87" s="115" t="s">
        <v>299</v>
      </c>
      <c r="R87" s="260" t="s">
        <v>300</v>
      </c>
      <c r="S87" s="260"/>
      <c r="T87" s="260"/>
      <c r="U87" s="260"/>
      <c r="V87" s="260"/>
      <c r="W87" s="115" t="s">
        <v>301</v>
      </c>
      <c r="X87" s="260" t="s">
        <v>302</v>
      </c>
      <c r="Y87" s="260"/>
      <c r="Z87" s="260"/>
      <c r="AA87" s="260"/>
      <c r="AB87" s="260"/>
      <c r="AC87" s="260"/>
      <c r="AD87" s="260"/>
      <c r="AE87" s="260"/>
      <c r="AF87" s="115" t="s">
        <v>303</v>
      </c>
      <c r="AG87" s="260" t="s">
        <v>304</v>
      </c>
      <c r="AH87" s="260"/>
      <c r="AI87" s="115" t="s">
        <v>305</v>
      </c>
      <c r="AJ87" s="52" t="s">
        <v>306</v>
      </c>
    </row>
    <row r="88" spans="2:36" ht="15" thickBot="1" x14ac:dyDescent="0.4">
      <c r="B88" s="239"/>
      <c r="C88" s="241"/>
      <c r="D88" s="116"/>
      <c r="E88" s="14">
        <v>0</v>
      </c>
      <c r="F88" s="64">
        <v>0</v>
      </c>
      <c r="G88" s="64">
        <v>0</v>
      </c>
      <c r="H88" s="64">
        <v>0</v>
      </c>
      <c r="I88" s="64">
        <v>0</v>
      </c>
      <c r="J88" s="64">
        <v>0</v>
      </c>
      <c r="K88" s="40">
        <v>0</v>
      </c>
      <c r="L88" s="40">
        <v>0</v>
      </c>
      <c r="M88" s="40">
        <v>0</v>
      </c>
      <c r="N88" s="40">
        <v>0</v>
      </c>
      <c r="O88" s="40">
        <v>0</v>
      </c>
      <c r="P88" s="40">
        <v>0</v>
      </c>
      <c r="Q88" s="40">
        <v>1</v>
      </c>
      <c r="R88" s="40">
        <v>0</v>
      </c>
      <c r="S88" s="40">
        <v>0</v>
      </c>
      <c r="T88" s="40">
        <v>0</v>
      </c>
      <c r="U88" s="40">
        <v>0</v>
      </c>
      <c r="V88" s="40">
        <v>0</v>
      </c>
      <c r="W88" s="40">
        <v>0</v>
      </c>
      <c r="X88" s="40">
        <v>0</v>
      </c>
      <c r="Y88" s="40">
        <v>0</v>
      </c>
      <c r="Z88" s="40">
        <v>0</v>
      </c>
      <c r="AA88" s="40">
        <v>0</v>
      </c>
      <c r="AB88" s="40">
        <v>0</v>
      </c>
      <c r="AC88" s="40">
        <v>0</v>
      </c>
      <c r="AD88" s="40">
        <v>0</v>
      </c>
      <c r="AE88" s="40">
        <v>0</v>
      </c>
      <c r="AF88" s="40">
        <v>0</v>
      </c>
      <c r="AG88" s="40">
        <v>0</v>
      </c>
      <c r="AH88" s="40">
        <v>0</v>
      </c>
      <c r="AI88" s="40">
        <v>0</v>
      </c>
      <c r="AJ88" s="41">
        <v>0</v>
      </c>
    </row>
    <row r="89" spans="2:36" ht="15" thickTop="1" x14ac:dyDescent="0.35">
      <c r="B89" s="238" t="s">
        <v>156</v>
      </c>
      <c r="C89" s="240" t="s">
        <v>411</v>
      </c>
      <c r="D89" s="113"/>
      <c r="E89" s="23"/>
      <c r="F89" s="114"/>
      <c r="G89" s="114"/>
      <c r="H89" s="114"/>
      <c r="I89" s="114"/>
      <c r="J89" s="114"/>
      <c r="K89" s="260" t="s">
        <v>412</v>
      </c>
      <c r="L89" s="260"/>
      <c r="M89" s="260"/>
      <c r="N89" s="260"/>
      <c r="O89" s="115" t="s">
        <v>19</v>
      </c>
      <c r="P89" s="115" t="s">
        <v>308</v>
      </c>
      <c r="Q89" s="260" t="s">
        <v>309</v>
      </c>
      <c r="R89" s="260"/>
      <c r="S89" s="260"/>
      <c r="T89" s="260"/>
      <c r="U89" s="260"/>
      <c r="V89" s="260"/>
      <c r="W89" s="260"/>
      <c r="X89" s="260"/>
      <c r="Y89" s="260"/>
      <c r="Z89" s="260"/>
      <c r="AA89" s="260" t="s">
        <v>310</v>
      </c>
      <c r="AB89" s="260"/>
      <c r="AC89" s="260"/>
      <c r="AD89" s="260"/>
      <c r="AE89" s="260"/>
      <c r="AF89" s="260"/>
      <c r="AG89" s="260"/>
      <c r="AH89" s="260"/>
      <c r="AI89" s="260"/>
      <c r="AJ89" s="261"/>
    </row>
    <row r="90" spans="2:36" ht="15" thickBot="1" x14ac:dyDescent="0.4">
      <c r="B90" s="239"/>
      <c r="C90" s="241"/>
      <c r="D90" s="116"/>
      <c r="E90" s="14">
        <v>0</v>
      </c>
      <c r="F90" s="64">
        <v>0</v>
      </c>
      <c r="G90" s="64">
        <v>0</v>
      </c>
      <c r="H90" s="64">
        <v>0</v>
      </c>
      <c r="I90" s="64">
        <v>0</v>
      </c>
      <c r="J90" s="64">
        <v>0</v>
      </c>
      <c r="K90" s="40">
        <v>0</v>
      </c>
      <c r="L90" s="40">
        <v>0</v>
      </c>
      <c r="M90" s="40">
        <v>0</v>
      </c>
      <c r="N90" s="40">
        <v>0</v>
      </c>
      <c r="O90" s="40">
        <v>0</v>
      </c>
      <c r="P90" s="40">
        <v>1</v>
      </c>
      <c r="Q90" s="40">
        <v>0</v>
      </c>
      <c r="R90" s="40">
        <v>0</v>
      </c>
      <c r="S90" s="40">
        <v>0</v>
      </c>
      <c r="T90" s="40">
        <v>0</v>
      </c>
      <c r="U90" s="40">
        <v>0</v>
      </c>
      <c r="V90" s="40">
        <v>0</v>
      </c>
      <c r="W90" s="40">
        <v>0</v>
      </c>
      <c r="X90" s="40">
        <v>0</v>
      </c>
      <c r="Y90" s="40">
        <v>0</v>
      </c>
      <c r="Z90" s="40">
        <v>0</v>
      </c>
      <c r="AA90" s="40">
        <v>0</v>
      </c>
      <c r="AB90" s="40">
        <v>0</v>
      </c>
      <c r="AC90" s="40">
        <v>0</v>
      </c>
      <c r="AD90" s="40">
        <v>0</v>
      </c>
      <c r="AE90" s="40">
        <v>0</v>
      </c>
      <c r="AF90" s="40">
        <v>0</v>
      </c>
      <c r="AG90" s="40">
        <v>0</v>
      </c>
      <c r="AH90" s="40">
        <v>0</v>
      </c>
      <c r="AI90" s="40">
        <v>0</v>
      </c>
      <c r="AJ90" s="41">
        <v>0</v>
      </c>
    </row>
    <row r="91" spans="2:36" ht="15" thickTop="1" x14ac:dyDescent="0.35">
      <c r="B91" s="238" t="s">
        <v>157</v>
      </c>
      <c r="C91" s="240" t="s">
        <v>413</v>
      </c>
      <c r="D91" s="113"/>
      <c r="E91" s="23"/>
      <c r="F91" s="114"/>
      <c r="G91" s="114"/>
      <c r="H91" s="114"/>
      <c r="I91" s="114"/>
      <c r="J91" s="114"/>
      <c r="K91" s="260" t="s">
        <v>312</v>
      </c>
      <c r="L91" s="260"/>
      <c r="M91" s="260"/>
      <c r="N91" s="260"/>
      <c r="O91" s="260"/>
      <c r="P91" s="260"/>
      <c r="Q91" s="260" t="s">
        <v>313</v>
      </c>
      <c r="R91" s="260"/>
      <c r="S91" s="260"/>
      <c r="T91" s="260"/>
      <c r="U91" s="260"/>
      <c r="V91" s="260"/>
      <c r="W91" s="260"/>
      <c r="X91" s="260"/>
      <c r="Y91" s="260"/>
      <c r="Z91" s="260"/>
      <c r="AA91" s="260" t="s">
        <v>314</v>
      </c>
      <c r="AB91" s="260"/>
      <c r="AC91" s="260"/>
      <c r="AD91" s="260"/>
      <c r="AE91" s="260"/>
      <c r="AF91" s="260"/>
      <c r="AG91" s="260"/>
      <c r="AH91" s="260"/>
      <c r="AI91" s="260"/>
      <c r="AJ91" s="261"/>
    </row>
    <row r="92" spans="2:36" ht="15" thickBot="1" x14ac:dyDescent="0.4">
      <c r="B92" s="239"/>
      <c r="C92" s="241"/>
      <c r="D92" s="116"/>
      <c r="E92" s="14">
        <v>0</v>
      </c>
      <c r="F92" s="64">
        <v>0</v>
      </c>
      <c r="G92" s="64">
        <v>0</v>
      </c>
      <c r="H92" s="64">
        <v>0</v>
      </c>
      <c r="I92" s="64">
        <v>0</v>
      </c>
      <c r="J92" s="64">
        <v>0</v>
      </c>
      <c r="K92" s="40">
        <v>0</v>
      </c>
      <c r="L92" s="40">
        <v>0</v>
      </c>
      <c r="M92" s="40">
        <v>0</v>
      </c>
      <c r="N92" s="40">
        <v>0</v>
      </c>
      <c r="O92" s="40">
        <v>0</v>
      </c>
      <c r="P92" s="40">
        <v>0</v>
      </c>
      <c r="Q92" s="40">
        <v>0</v>
      </c>
      <c r="R92" s="40">
        <v>0</v>
      </c>
      <c r="S92" s="40">
        <v>0</v>
      </c>
      <c r="T92" s="40">
        <v>0</v>
      </c>
      <c r="U92" s="40">
        <v>0</v>
      </c>
      <c r="V92" s="40">
        <v>0</v>
      </c>
      <c r="W92" s="40">
        <v>0</v>
      </c>
      <c r="X92" s="40">
        <v>0</v>
      </c>
      <c r="Y92" s="40">
        <v>0</v>
      </c>
      <c r="Z92" s="40">
        <v>0</v>
      </c>
      <c r="AA92" s="40">
        <v>0</v>
      </c>
      <c r="AB92" s="40">
        <v>0</v>
      </c>
      <c r="AC92" s="40">
        <v>0</v>
      </c>
      <c r="AD92" s="40">
        <v>0</v>
      </c>
      <c r="AE92" s="40">
        <v>0</v>
      </c>
      <c r="AF92" s="40">
        <v>0</v>
      </c>
      <c r="AG92" s="40">
        <v>0</v>
      </c>
      <c r="AH92" s="40">
        <v>0</v>
      </c>
      <c r="AI92" s="40">
        <v>0</v>
      </c>
      <c r="AJ92" s="41">
        <v>0</v>
      </c>
    </row>
    <row r="93" spans="2:36" ht="15" thickTop="1" x14ac:dyDescent="0.35">
      <c r="B93" s="238" t="s">
        <v>158</v>
      </c>
      <c r="C93" s="240" t="s">
        <v>414</v>
      </c>
      <c r="D93" s="113"/>
      <c r="E93" s="23"/>
      <c r="F93" s="114"/>
      <c r="G93" s="114"/>
      <c r="H93" s="114"/>
      <c r="I93" s="114"/>
      <c r="J93" s="114"/>
      <c r="K93" s="114"/>
      <c r="L93" s="114"/>
      <c r="M93" s="114"/>
      <c r="N93" s="114"/>
      <c r="O93" s="114"/>
      <c r="P93" s="114"/>
      <c r="Q93" s="114"/>
      <c r="R93" s="114"/>
      <c r="S93" s="260" t="s">
        <v>316</v>
      </c>
      <c r="T93" s="260"/>
      <c r="U93" s="260"/>
      <c r="V93" s="260"/>
      <c r="W93" s="260"/>
      <c r="X93" s="260"/>
      <c r="Y93" s="260"/>
      <c r="Z93" s="260"/>
      <c r="AA93" s="260"/>
      <c r="AB93" s="260" t="s">
        <v>317</v>
      </c>
      <c r="AC93" s="260"/>
      <c r="AD93" s="260"/>
      <c r="AE93" s="260"/>
      <c r="AF93" s="260"/>
      <c r="AG93" s="260"/>
      <c r="AH93" s="260"/>
      <c r="AI93" s="260"/>
      <c r="AJ93" s="261"/>
    </row>
    <row r="94" spans="2:36" ht="15" thickBot="1" x14ac:dyDescent="0.4">
      <c r="B94" s="239"/>
      <c r="C94" s="241"/>
      <c r="D94" s="116"/>
      <c r="E94" s="14">
        <v>0</v>
      </c>
      <c r="F94" s="64">
        <v>0</v>
      </c>
      <c r="G94" s="64">
        <v>0</v>
      </c>
      <c r="H94" s="64">
        <v>0</v>
      </c>
      <c r="I94" s="64">
        <v>0</v>
      </c>
      <c r="J94" s="64">
        <v>0</v>
      </c>
      <c r="K94" s="64">
        <v>0</v>
      </c>
      <c r="L94" s="64">
        <v>0</v>
      </c>
      <c r="M94" s="64">
        <v>0</v>
      </c>
      <c r="N94" s="64">
        <v>0</v>
      </c>
      <c r="O94" s="64">
        <v>0</v>
      </c>
      <c r="P94" s="64">
        <v>0</v>
      </c>
      <c r="Q94" s="64">
        <v>0</v>
      </c>
      <c r="R94" s="64">
        <v>0</v>
      </c>
      <c r="S94" s="40">
        <v>0</v>
      </c>
      <c r="T94" s="40">
        <v>0</v>
      </c>
      <c r="U94" s="40">
        <v>0</v>
      </c>
      <c r="V94" s="40">
        <v>0</v>
      </c>
      <c r="W94" s="40">
        <v>0</v>
      </c>
      <c r="X94" s="40">
        <v>0</v>
      </c>
      <c r="Y94" s="40">
        <v>0</v>
      </c>
      <c r="Z94" s="40">
        <v>0</v>
      </c>
      <c r="AA94" s="40">
        <v>0</v>
      </c>
      <c r="AB94" s="40">
        <v>1</v>
      </c>
      <c r="AC94" s="40">
        <v>0</v>
      </c>
      <c r="AD94" s="40">
        <v>0</v>
      </c>
      <c r="AE94" s="40">
        <v>0</v>
      </c>
      <c r="AF94" s="40">
        <v>0</v>
      </c>
      <c r="AG94" s="40">
        <v>0</v>
      </c>
      <c r="AH94" s="40">
        <v>0</v>
      </c>
      <c r="AI94" s="40">
        <v>0</v>
      </c>
      <c r="AJ94" s="41">
        <v>0</v>
      </c>
    </row>
    <row r="95" spans="2:36" ht="15" thickTop="1" x14ac:dyDescent="0.35">
      <c r="B95" s="238" t="s">
        <v>159</v>
      </c>
      <c r="C95" s="240" t="s">
        <v>415</v>
      </c>
      <c r="D95" s="113"/>
      <c r="E95" s="23"/>
      <c r="F95" s="114"/>
      <c r="G95" s="114"/>
      <c r="H95" s="114"/>
      <c r="I95" s="114"/>
      <c r="J95" s="114"/>
      <c r="K95" s="115" t="s">
        <v>416</v>
      </c>
      <c r="L95" s="260" t="s">
        <v>319</v>
      </c>
      <c r="M95" s="260"/>
      <c r="N95" s="260"/>
      <c r="O95" s="260"/>
      <c r="P95" s="260"/>
      <c r="Q95" s="260"/>
      <c r="R95" s="260"/>
      <c r="S95" s="260" t="s">
        <v>320</v>
      </c>
      <c r="T95" s="260"/>
      <c r="U95" s="260"/>
      <c r="V95" s="260"/>
      <c r="W95" s="260"/>
      <c r="X95" s="260"/>
      <c r="Y95" s="260"/>
      <c r="Z95" s="260"/>
      <c r="AA95" s="260"/>
      <c r="AB95" s="260" t="s">
        <v>321</v>
      </c>
      <c r="AC95" s="260"/>
      <c r="AD95" s="260"/>
      <c r="AE95" s="260"/>
      <c r="AF95" s="260"/>
      <c r="AG95" s="260"/>
      <c r="AH95" s="260"/>
      <c r="AI95" s="260"/>
      <c r="AJ95" s="261"/>
    </row>
    <row r="96" spans="2:36" ht="15" thickBot="1" x14ac:dyDescent="0.4">
      <c r="B96" s="239"/>
      <c r="C96" s="241"/>
      <c r="D96" s="116"/>
      <c r="E96" s="14">
        <v>0</v>
      </c>
      <c r="F96" s="64">
        <v>0</v>
      </c>
      <c r="G96" s="64">
        <v>0</v>
      </c>
      <c r="H96" s="64">
        <v>0</v>
      </c>
      <c r="I96" s="64">
        <v>0</v>
      </c>
      <c r="J96" s="64">
        <v>0</v>
      </c>
      <c r="K96" s="40">
        <v>0</v>
      </c>
      <c r="L96" s="40">
        <v>0</v>
      </c>
      <c r="M96" s="40">
        <v>1</v>
      </c>
      <c r="N96" s="40">
        <v>1</v>
      </c>
      <c r="O96" s="40">
        <v>1</v>
      </c>
      <c r="P96" s="40">
        <v>1</v>
      </c>
      <c r="Q96" s="40">
        <v>1</v>
      </c>
      <c r="R96" s="40">
        <v>1</v>
      </c>
      <c r="S96" s="40">
        <v>0</v>
      </c>
      <c r="T96" s="40">
        <v>0</v>
      </c>
      <c r="U96" s="40">
        <v>0</v>
      </c>
      <c r="V96" s="40">
        <v>0</v>
      </c>
      <c r="W96" s="40">
        <v>0</v>
      </c>
      <c r="X96" s="40">
        <v>0</v>
      </c>
      <c r="Y96" s="40">
        <v>0</v>
      </c>
      <c r="Z96" s="40">
        <v>0</v>
      </c>
      <c r="AA96" s="40">
        <v>0</v>
      </c>
      <c r="AB96" s="40">
        <v>0</v>
      </c>
      <c r="AC96" s="40">
        <v>0</v>
      </c>
      <c r="AD96" s="40">
        <v>0</v>
      </c>
      <c r="AE96" s="40">
        <v>0</v>
      </c>
      <c r="AF96" s="40">
        <v>0</v>
      </c>
      <c r="AG96" s="40">
        <v>0</v>
      </c>
      <c r="AH96" s="40">
        <v>0</v>
      </c>
      <c r="AI96" s="40">
        <v>0</v>
      </c>
      <c r="AJ96" s="41">
        <v>0</v>
      </c>
    </row>
    <row r="97" spans="2:36" ht="15" thickTop="1" x14ac:dyDescent="0.35">
      <c r="B97" s="238" t="s">
        <v>160</v>
      </c>
      <c r="C97" s="240" t="s">
        <v>417</v>
      </c>
      <c r="D97" s="113"/>
      <c r="E97" s="23"/>
      <c r="F97" s="114"/>
      <c r="G97" s="114"/>
      <c r="H97" s="114"/>
      <c r="I97" s="114"/>
      <c r="J97" s="114"/>
      <c r="K97" s="260" t="s">
        <v>323</v>
      </c>
      <c r="L97" s="260"/>
      <c r="M97" s="260"/>
      <c r="N97" s="260"/>
      <c r="O97" s="260"/>
      <c r="P97" s="260"/>
      <c r="Q97" s="260"/>
      <c r="R97" s="260"/>
      <c r="S97" s="260"/>
      <c r="T97" s="260"/>
      <c r="U97" s="260" t="s">
        <v>324</v>
      </c>
      <c r="V97" s="260"/>
      <c r="W97" s="260"/>
      <c r="X97" s="260"/>
      <c r="Y97" s="260"/>
      <c r="Z97" s="260"/>
      <c r="AA97" s="260"/>
      <c r="AB97" s="260"/>
      <c r="AC97" s="260"/>
      <c r="AD97" s="260"/>
      <c r="AE97" s="260" t="s">
        <v>325</v>
      </c>
      <c r="AF97" s="260"/>
      <c r="AG97" s="260"/>
      <c r="AH97" s="260"/>
      <c r="AI97" s="260"/>
      <c r="AJ97" s="261"/>
    </row>
    <row r="98" spans="2:36" ht="15" thickBot="1" x14ac:dyDescent="0.4">
      <c r="B98" s="239"/>
      <c r="C98" s="241"/>
      <c r="D98" s="116"/>
      <c r="E98" s="14">
        <v>0</v>
      </c>
      <c r="F98" s="64">
        <v>0</v>
      </c>
      <c r="G98" s="64">
        <v>0</v>
      </c>
      <c r="H98" s="64">
        <v>0</v>
      </c>
      <c r="I98" s="64">
        <v>0</v>
      </c>
      <c r="J98" s="64">
        <v>0</v>
      </c>
      <c r="K98" s="40">
        <v>0</v>
      </c>
      <c r="L98" s="40">
        <v>0</v>
      </c>
      <c r="M98" s="40">
        <v>0</v>
      </c>
      <c r="N98" s="40">
        <v>0</v>
      </c>
      <c r="O98" s="40">
        <v>0</v>
      </c>
      <c r="P98" s="40">
        <v>0</v>
      </c>
      <c r="Q98" s="40">
        <v>0</v>
      </c>
      <c r="R98" s="40">
        <v>0</v>
      </c>
      <c r="S98" s="40">
        <v>0</v>
      </c>
      <c r="T98" s="40">
        <v>0</v>
      </c>
      <c r="U98" s="40">
        <v>0</v>
      </c>
      <c r="V98" s="40">
        <v>0</v>
      </c>
      <c r="W98" s="40">
        <v>0</v>
      </c>
      <c r="X98" s="40">
        <v>0</v>
      </c>
      <c r="Y98" s="40">
        <v>0</v>
      </c>
      <c r="Z98" s="40">
        <v>0</v>
      </c>
      <c r="AA98" s="40">
        <v>0</v>
      </c>
      <c r="AB98" s="40">
        <v>0</v>
      </c>
      <c r="AC98" s="40">
        <v>0</v>
      </c>
      <c r="AD98" s="40">
        <v>0</v>
      </c>
      <c r="AE98" s="40">
        <v>0</v>
      </c>
      <c r="AF98" s="40">
        <v>0</v>
      </c>
      <c r="AG98" s="40">
        <v>0</v>
      </c>
      <c r="AH98" s="40">
        <v>0</v>
      </c>
      <c r="AI98" s="40">
        <v>0</v>
      </c>
      <c r="AJ98" s="41">
        <v>0</v>
      </c>
    </row>
    <row r="99" spans="2:36" ht="15" thickTop="1" x14ac:dyDescent="0.35">
      <c r="B99" s="238" t="s">
        <v>161</v>
      </c>
      <c r="C99" s="240" t="s">
        <v>418</v>
      </c>
      <c r="D99" s="113"/>
      <c r="E99" s="23"/>
      <c r="F99" s="114"/>
      <c r="G99" s="114"/>
      <c r="H99" s="114"/>
      <c r="I99" s="114"/>
      <c r="J99" s="114"/>
      <c r="K99" s="115" t="s">
        <v>327</v>
      </c>
      <c r="L99" s="260" t="s">
        <v>328</v>
      </c>
      <c r="M99" s="260"/>
      <c r="N99" s="260"/>
      <c r="O99" s="260"/>
      <c r="P99" s="260"/>
      <c r="Q99" s="260"/>
      <c r="R99" s="260"/>
      <c r="S99" s="260"/>
      <c r="T99" s="260"/>
      <c r="U99" s="260"/>
      <c r="V99" s="260"/>
      <c r="W99" s="260" t="s">
        <v>329</v>
      </c>
      <c r="X99" s="260"/>
      <c r="Y99" s="260"/>
      <c r="Z99" s="260"/>
      <c r="AA99" s="260"/>
      <c r="AB99" s="260"/>
      <c r="AC99" s="260"/>
      <c r="AD99" s="260"/>
      <c r="AE99" s="260"/>
      <c r="AF99" s="260"/>
      <c r="AG99" s="260"/>
      <c r="AH99" s="260"/>
      <c r="AI99" s="260"/>
      <c r="AJ99" s="261"/>
    </row>
    <row r="100" spans="2:36" ht="15" thickBot="1" x14ac:dyDescent="0.4">
      <c r="B100" s="239"/>
      <c r="C100" s="241"/>
      <c r="D100" s="116"/>
      <c r="E100" s="14">
        <v>0</v>
      </c>
      <c r="F100" s="64">
        <v>0</v>
      </c>
      <c r="G100" s="64">
        <v>0</v>
      </c>
      <c r="H100" s="64">
        <v>0</v>
      </c>
      <c r="I100" s="64">
        <v>0</v>
      </c>
      <c r="J100" s="64">
        <v>0</v>
      </c>
      <c r="K100" s="40">
        <v>0</v>
      </c>
      <c r="L100" s="40">
        <v>0</v>
      </c>
      <c r="M100" s="40">
        <v>0</v>
      </c>
      <c r="N100" s="40">
        <v>0</v>
      </c>
      <c r="O100" s="40">
        <v>0</v>
      </c>
      <c r="P100" s="40">
        <v>0</v>
      </c>
      <c r="Q100" s="40">
        <v>0</v>
      </c>
      <c r="R100" s="40">
        <v>0</v>
      </c>
      <c r="S100" s="40">
        <v>0</v>
      </c>
      <c r="T100" s="40">
        <v>0</v>
      </c>
      <c r="U100" s="40">
        <v>0</v>
      </c>
      <c r="V100" s="40">
        <v>0</v>
      </c>
      <c r="W100" s="40">
        <v>0</v>
      </c>
      <c r="X100" s="40">
        <v>0</v>
      </c>
      <c r="Y100" s="40">
        <v>0</v>
      </c>
      <c r="Z100" s="40">
        <v>0</v>
      </c>
      <c r="AA100" s="40">
        <v>0</v>
      </c>
      <c r="AB100" s="40">
        <v>0</v>
      </c>
      <c r="AC100" s="40">
        <v>0</v>
      </c>
      <c r="AD100" s="40">
        <v>0</v>
      </c>
      <c r="AE100" s="40">
        <v>0</v>
      </c>
      <c r="AF100" s="40">
        <v>0</v>
      </c>
      <c r="AG100" s="40">
        <v>0</v>
      </c>
      <c r="AH100" s="40">
        <v>0</v>
      </c>
      <c r="AI100" s="40">
        <v>0</v>
      </c>
      <c r="AJ100" s="41">
        <v>0</v>
      </c>
    </row>
    <row r="101" spans="2:36" ht="15" thickTop="1" x14ac:dyDescent="0.35">
      <c r="B101" s="238" t="s">
        <v>162</v>
      </c>
      <c r="C101" s="240" t="s">
        <v>419</v>
      </c>
      <c r="D101" s="113"/>
      <c r="E101" s="23"/>
      <c r="F101" s="114"/>
      <c r="G101" s="114"/>
      <c r="H101" s="114"/>
      <c r="I101" s="114"/>
      <c r="J101" s="114"/>
      <c r="K101" s="260" t="s">
        <v>420</v>
      </c>
      <c r="L101" s="260"/>
      <c r="M101" s="260" t="s">
        <v>331</v>
      </c>
      <c r="N101" s="260"/>
      <c r="O101" s="260"/>
      <c r="P101" s="260"/>
      <c r="Q101" s="260"/>
      <c r="R101" s="260"/>
      <c r="S101" s="260" t="s">
        <v>332</v>
      </c>
      <c r="T101" s="260"/>
      <c r="U101" s="260"/>
      <c r="V101" s="260"/>
      <c r="W101" s="260"/>
      <c r="X101" s="260"/>
      <c r="Y101" s="260" t="s">
        <v>333</v>
      </c>
      <c r="Z101" s="260"/>
      <c r="AA101" s="260"/>
      <c r="AB101" s="260"/>
      <c r="AC101" s="260"/>
      <c r="AD101" s="260"/>
      <c r="AE101" s="260" t="s">
        <v>334</v>
      </c>
      <c r="AF101" s="260"/>
      <c r="AG101" s="260"/>
      <c r="AH101" s="260"/>
      <c r="AI101" s="260"/>
      <c r="AJ101" s="261"/>
    </row>
    <row r="102" spans="2:36" ht="15" thickBot="1" x14ac:dyDescent="0.4">
      <c r="B102" s="239"/>
      <c r="C102" s="241"/>
      <c r="D102" s="116"/>
      <c r="E102" s="14">
        <v>0</v>
      </c>
      <c r="F102" s="64">
        <v>0</v>
      </c>
      <c r="G102" s="64">
        <v>0</v>
      </c>
      <c r="H102" s="64">
        <v>0</v>
      </c>
      <c r="I102" s="64">
        <v>0</v>
      </c>
      <c r="J102" s="64">
        <v>0</v>
      </c>
      <c r="K102" s="40">
        <v>0</v>
      </c>
      <c r="L102" s="40">
        <v>0</v>
      </c>
      <c r="M102" s="40">
        <v>0</v>
      </c>
      <c r="N102" s="40">
        <v>0</v>
      </c>
      <c r="O102" s="40">
        <v>0</v>
      </c>
      <c r="P102" s="40">
        <v>0</v>
      </c>
      <c r="Q102" s="40">
        <v>0</v>
      </c>
      <c r="R102" s="40">
        <v>0</v>
      </c>
      <c r="S102" s="40">
        <v>0</v>
      </c>
      <c r="T102" s="40">
        <v>0</v>
      </c>
      <c r="U102" s="40">
        <v>0</v>
      </c>
      <c r="V102" s="40">
        <v>0</v>
      </c>
      <c r="W102" s="40">
        <v>0</v>
      </c>
      <c r="X102" s="40">
        <v>0</v>
      </c>
      <c r="Y102" s="40">
        <v>0</v>
      </c>
      <c r="Z102" s="40">
        <v>0</v>
      </c>
      <c r="AA102" s="40">
        <v>0</v>
      </c>
      <c r="AB102" s="40">
        <v>0</v>
      </c>
      <c r="AC102" s="40">
        <v>0</v>
      </c>
      <c r="AD102" s="40">
        <v>0</v>
      </c>
      <c r="AE102" s="40">
        <v>0</v>
      </c>
      <c r="AF102" s="40">
        <v>0</v>
      </c>
      <c r="AG102" s="40">
        <v>0</v>
      </c>
      <c r="AH102" s="40">
        <v>0</v>
      </c>
      <c r="AI102" s="40">
        <v>0</v>
      </c>
      <c r="AJ102" s="41">
        <v>0</v>
      </c>
    </row>
    <row r="103" spans="2:36" ht="15" thickTop="1" x14ac:dyDescent="0.35">
      <c r="B103" s="234" t="s">
        <v>163</v>
      </c>
      <c r="C103" s="236" t="s">
        <v>421</v>
      </c>
      <c r="D103" s="107"/>
      <c r="E103" s="20"/>
      <c r="F103" s="108"/>
      <c r="G103" s="108"/>
      <c r="H103" s="108"/>
      <c r="I103" s="108"/>
      <c r="J103" s="108"/>
      <c r="K103" s="258" t="s">
        <v>422</v>
      </c>
      <c r="L103" s="258"/>
      <c r="M103" s="258" t="s">
        <v>336</v>
      </c>
      <c r="N103" s="258"/>
      <c r="O103" s="258" t="s">
        <v>337</v>
      </c>
      <c r="P103" s="258"/>
      <c r="Q103" s="258"/>
      <c r="R103" s="258" t="s">
        <v>338</v>
      </c>
      <c r="S103" s="258"/>
      <c r="T103" s="109" t="s">
        <v>339</v>
      </c>
      <c r="U103" s="109" t="s">
        <v>340</v>
      </c>
      <c r="V103" s="109" t="s">
        <v>341</v>
      </c>
      <c r="W103" s="109" t="s">
        <v>342</v>
      </c>
      <c r="X103" s="109" t="s">
        <v>343</v>
      </c>
      <c r="Y103" s="109" t="s">
        <v>344</v>
      </c>
      <c r="Z103" s="109" t="s">
        <v>345</v>
      </c>
      <c r="AA103" s="258" t="s">
        <v>346</v>
      </c>
      <c r="AB103" s="258"/>
      <c r="AC103" s="258" t="s">
        <v>347</v>
      </c>
      <c r="AD103" s="258"/>
      <c r="AE103" s="109" t="s">
        <v>348</v>
      </c>
      <c r="AF103" s="109" t="s">
        <v>349</v>
      </c>
      <c r="AG103" s="109" t="s">
        <v>350</v>
      </c>
      <c r="AH103" s="258" t="s">
        <v>351</v>
      </c>
      <c r="AI103" s="258"/>
      <c r="AJ103" s="259"/>
    </row>
    <row r="104" spans="2:36" ht="15" thickBot="1" x14ac:dyDescent="0.4">
      <c r="B104" s="235"/>
      <c r="C104" s="237"/>
      <c r="D104" s="110"/>
      <c r="E104" s="21">
        <v>0</v>
      </c>
      <c r="F104" s="111">
        <v>0</v>
      </c>
      <c r="G104" s="111">
        <v>0</v>
      </c>
      <c r="H104" s="111">
        <v>0</v>
      </c>
      <c r="I104" s="111">
        <v>0</v>
      </c>
      <c r="J104" s="111">
        <v>0</v>
      </c>
      <c r="K104" s="112">
        <v>0</v>
      </c>
      <c r="L104" s="112">
        <v>0</v>
      </c>
      <c r="M104" s="112">
        <v>0</v>
      </c>
      <c r="N104" s="112">
        <v>0</v>
      </c>
      <c r="O104" s="112">
        <v>0</v>
      </c>
      <c r="P104" s="112">
        <v>0</v>
      </c>
      <c r="Q104" s="112">
        <v>0</v>
      </c>
      <c r="R104" s="112">
        <v>0</v>
      </c>
      <c r="S104" s="112">
        <v>0</v>
      </c>
      <c r="T104" s="112">
        <v>0</v>
      </c>
      <c r="U104" s="112">
        <v>0</v>
      </c>
      <c r="V104" s="112">
        <v>0</v>
      </c>
      <c r="W104" s="112">
        <v>0</v>
      </c>
      <c r="X104" s="112">
        <v>0</v>
      </c>
      <c r="Y104" s="112">
        <v>0</v>
      </c>
      <c r="Z104" s="112">
        <v>0</v>
      </c>
      <c r="AA104" s="112">
        <v>0</v>
      </c>
      <c r="AB104" s="112">
        <v>0</v>
      </c>
      <c r="AC104" s="112">
        <v>0</v>
      </c>
      <c r="AD104" s="112">
        <v>0</v>
      </c>
      <c r="AE104" s="112">
        <v>0</v>
      </c>
      <c r="AF104" s="112">
        <v>0</v>
      </c>
      <c r="AG104" s="112">
        <v>0</v>
      </c>
      <c r="AH104" s="112">
        <v>0</v>
      </c>
      <c r="AI104" s="112">
        <v>0</v>
      </c>
      <c r="AJ104" s="22">
        <v>0</v>
      </c>
    </row>
    <row r="105" spans="2:36" ht="15" thickTop="1" x14ac:dyDescent="0.35">
      <c r="B105" s="234" t="s">
        <v>164</v>
      </c>
      <c r="C105" s="236" t="s">
        <v>423</v>
      </c>
      <c r="D105" s="107"/>
      <c r="E105" s="20"/>
      <c r="F105" s="108"/>
      <c r="G105" s="108"/>
      <c r="H105" s="108"/>
      <c r="I105" s="108"/>
      <c r="J105" s="108"/>
      <c r="K105" s="108"/>
      <c r="L105" s="108"/>
      <c r="M105" s="108"/>
      <c r="N105" s="108"/>
      <c r="O105" s="108"/>
      <c r="P105" s="108"/>
      <c r="Q105" s="108"/>
      <c r="R105" s="108"/>
      <c r="S105" s="108"/>
      <c r="T105" s="108"/>
      <c r="U105" s="108"/>
      <c r="V105" s="108"/>
      <c r="W105" s="108"/>
      <c r="X105" s="108"/>
      <c r="Y105" s="108"/>
      <c r="Z105" s="108"/>
      <c r="AA105" s="108"/>
      <c r="AB105" s="258" t="s">
        <v>353</v>
      </c>
      <c r="AC105" s="258"/>
      <c r="AD105" s="258" t="s">
        <v>354</v>
      </c>
      <c r="AE105" s="258"/>
      <c r="AF105" s="258"/>
      <c r="AG105" s="258"/>
      <c r="AH105" s="258"/>
      <c r="AI105" s="258"/>
      <c r="AJ105" s="259"/>
    </row>
    <row r="106" spans="2:36" ht="15" thickBot="1" x14ac:dyDescent="0.4">
      <c r="B106" s="235"/>
      <c r="C106" s="237"/>
      <c r="D106" s="110"/>
      <c r="E106" s="21">
        <v>0</v>
      </c>
      <c r="F106" s="111">
        <v>0</v>
      </c>
      <c r="G106" s="111">
        <v>0</v>
      </c>
      <c r="H106" s="111">
        <v>0</v>
      </c>
      <c r="I106" s="111">
        <v>0</v>
      </c>
      <c r="J106" s="111">
        <v>0</v>
      </c>
      <c r="K106" s="111">
        <v>0</v>
      </c>
      <c r="L106" s="111">
        <v>0</v>
      </c>
      <c r="M106" s="111">
        <v>0</v>
      </c>
      <c r="N106" s="111">
        <v>0</v>
      </c>
      <c r="O106" s="111">
        <v>0</v>
      </c>
      <c r="P106" s="111">
        <v>0</v>
      </c>
      <c r="Q106" s="111">
        <v>0</v>
      </c>
      <c r="R106" s="111">
        <v>0</v>
      </c>
      <c r="S106" s="111">
        <v>0</v>
      </c>
      <c r="T106" s="111">
        <v>0</v>
      </c>
      <c r="U106" s="111">
        <v>0</v>
      </c>
      <c r="V106" s="111">
        <v>0</v>
      </c>
      <c r="W106" s="111">
        <v>0</v>
      </c>
      <c r="X106" s="111">
        <v>0</v>
      </c>
      <c r="Y106" s="111">
        <v>0</v>
      </c>
      <c r="Z106" s="111">
        <v>0</v>
      </c>
      <c r="AA106" s="111">
        <v>0</v>
      </c>
      <c r="AB106" s="112">
        <v>0</v>
      </c>
      <c r="AC106" s="112">
        <v>0</v>
      </c>
      <c r="AD106" s="112">
        <v>0</v>
      </c>
      <c r="AE106" s="112">
        <v>0</v>
      </c>
      <c r="AF106" s="112">
        <v>0</v>
      </c>
      <c r="AG106" s="112">
        <v>0</v>
      </c>
      <c r="AH106" s="112">
        <v>0</v>
      </c>
      <c r="AI106" s="112">
        <v>0</v>
      </c>
      <c r="AJ106" s="22">
        <v>1</v>
      </c>
    </row>
    <row r="107" spans="2:36" ht="15" thickTop="1" x14ac:dyDescent="0.35">
      <c r="B107" s="234" t="s">
        <v>165</v>
      </c>
      <c r="C107" s="236" t="s">
        <v>424</v>
      </c>
      <c r="D107" s="107"/>
      <c r="E107" s="20"/>
      <c r="F107" s="108"/>
      <c r="G107" s="108"/>
      <c r="H107" s="108"/>
      <c r="I107" s="108"/>
      <c r="J107" s="108"/>
      <c r="K107" s="108"/>
      <c r="L107" s="108"/>
      <c r="M107" s="108"/>
      <c r="N107" s="108"/>
      <c r="O107" s="108"/>
      <c r="P107" s="108"/>
      <c r="Q107" s="108"/>
      <c r="R107" s="108"/>
      <c r="S107" s="108"/>
      <c r="T107" s="108"/>
      <c r="U107" s="108"/>
      <c r="V107" s="108"/>
      <c r="W107" s="108"/>
      <c r="X107" s="108"/>
      <c r="Y107" s="108"/>
      <c r="Z107" s="108"/>
      <c r="AA107" s="108"/>
      <c r="AB107" s="258" t="s">
        <v>17</v>
      </c>
      <c r="AC107" s="258"/>
      <c r="AD107" s="258"/>
      <c r="AE107" s="109" t="s">
        <v>356</v>
      </c>
      <c r="AF107" s="109" t="s">
        <v>425</v>
      </c>
      <c r="AG107" s="258" t="s">
        <v>358</v>
      </c>
      <c r="AH107" s="258"/>
      <c r="AI107" s="258"/>
      <c r="AJ107" s="259"/>
    </row>
    <row r="108" spans="2:36" ht="15" thickBot="1" x14ac:dyDescent="0.4">
      <c r="B108" s="235"/>
      <c r="C108" s="237"/>
      <c r="D108" s="110"/>
      <c r="E108" s="21">
        <v>0</v>
      </c>
      <c r="F108" s="111">
        <v>0</v>
      </c>
      <c r="G108" s="111">
        <v>0</v>
      </c>
      <c r="H108" s="111">
        <v>0</v>
      </c>
      <c r="I108" s="111">
        <v>0</v>
      </c>
      <c r="J108" s="111">
        <v>0</v>
      </c>
      <c r="K108" s="111">
        <v>0</v>
      </c>
      <c r="L108" s="111">
        <v>0</v>
      </c>
      <c r="M108" s="111">
        <v>0</v>
      </c>
      <c r="N108" s="111">
        <v>0</v>
      </c>
      <c r="O108" s="111">
        <v>0</v>
      </c>
      <c r="P108" s="111">
        <v>0</v>
      </c>
      <c r="Q108" s="111">
        <v>0</v>
      </c>
      <c r="R108" s="111">
        <v>0</v>
      </c>
      <c r="S108" s="111">
        <v>0</v>
      </c>
      <c r="T108" s="111">
        <v>0</v>
      </c>
      <c r="U108" s="111">
        <v>0</v>
      </c>
      <c r="V108" s="111">
        <v>0</v>
      </c>
      <c r="W108" s="111">
        <v>0</v>
      </c>
      <c r="X108" s="111">
        <v>0</v>
      </c>
      <c r="Y108" s="111">
        <v>0</v>
      </c>
      <c r="Z108" s="111">
        <v>0</v>
      </c>
      <c r="AA108" s="111">
        <v>0</v>
      </c>
      <c r="AB108" s="112">
        <v>0</v>
      </c>
      <c r="AC108" s="112">
        <v>0</v>
      </c>
      <c r="AD108" s="112">
        <v>0</v>
      </c>
      <c r="AE108" s="112">
        <v>0</v>
      </c>
      <c r="AF108" s="112">
        <v>0</v>
      </c>
      <c r="AG108" s="112">
        <v>0</v>
      </c>
      <c r="AH108" s="112">
        <v>0</v>
      </c>
      <c r="AI108" s="112">
        <v>0</v>
      </c>
      <c r="AJ108" s="22">
        <v>0</v>
      </c>
    </row>
    <row r="109" spans="2:36" ht="15" thickTop="1" x14ac:dyDescent="0.35">
      <c r="B109" s="234" t="s">
        <v>166</v>
      </c>
      <c r="C109" s="236" t="s">
        <v>426</v>
      </c>
      <c r="D109" s="107"/>
      <c r="E109" s="20"/>
      <c r="F109" s="108"/>
      <c r="G109" s="108"/>
      <c r="H109" s="108"/>
      <c r="I109" s="108"/>
      <c r="J109" s="108"/>
      <c r="K109" s="258" t="s">
        <v>360</v>
      </c>
      <c r="L109" s="258"/>
      <c r="M109" s="258"/>
      <c r="N109" s="258"/>
      <c r="O109" s="258"/>
      <c r="P109" s="258"/>
      <c r="Q109" s="258"/>
      <c r="R109" s="258"/>
      <c r="S109" s="258"/>
      <c r="T109" s="258"/>
      <c r="U109" s="258"/>
      <c r="V109" s="258"/>
      <c r="W109" s="258"/>
      <c r="X109" s="258" t="s">
        <v>361</v>
      </c>
      <c r="Y109" s="258"/>
      <c r="Z109" s="258"/>
      <c r="AA109" s="258"/>
      <c r="AB109" s="258"/>
      <c r="AC109" s="258"/>
      <c r="AD109" s="258"/>
      <c r="AE109" s="258"/>
      <c r="AF109" s="258"/>
      <c r="AG109" s="258"/>
      <c r="AH109" s="258"/>
      <c r="AI109" s="258"/>
      <c r="AJ109" s="259"/>
    </row>
    <row r="110" spans="2:36" ht="15" thickBot="1" x14ac:dyDescent="0.4">
      <c r="B110" s="235"/>
      <c r="C110" s="237"/>
      <c r="D110" s="110"/>
      <c r="E110" s="21">
        <v>0</v>
      </c>
      <c r="F110" s="111">
        <v>0</v>
      </c>
      <c r="G110" s="111">
        <v>0</v>
      </c>
      <c r="H110" s="111">
        <v>0</v>
      </c>
      <c r="I110" s="111">
        <v>0</v>
      </c>
      <c r="J110" s="111">
        <v>0</v>
      </c>
      <c r="K110" s="112">
        <v>0</v>
      </c>
      <c r="L110" s="112">
        <v>0</v>
      </c>
      <c r="M110" s="112">
        <v>0</v>
      </c>
      <c r="N110" s="112">
        <v>0</v>
      </c>
      <c r="O110" s="112">
        <v>0</v>
      </c>
      <c r="P110" s="112">
        <v>0</v>
      </c>
      <c r="Q110" s="112">
        <v>0</v>
      </c>
      <c r="R110" s="112">
        <v>0</v>
      </c>
      <c r="S110" s="112">
        <v>0</v>
      </c>
      <c r="T110" s="112">
        <v>0</v>
      </c>
      <c r="U110" s="112">
        <v>0</v>
      </c>
      <c r="V110" s="112">
        <v>0</v>
      </c>
      <c r="W110" s="112">
        <v>0</v>
      </c>
      <c r="X110" s="112">
        <v>0</v>
      </c>
      <c r="Y110" s="112">
        <v>0</v>
      </c>
      <c r="Z110" s="112">
        <v>0</v>
      </c>
      <c r="AA110" s="112">
        <v>0</v>
      </c>
      <c r="AB110" s="112">
        <v>0</v>
      </c>
      <c r="AC110" s="112">
        <v>0</v>
      </c>
      <c r="AD110" s="112">
        <v>0</v>
      </c>
      <c r="AE110" s="112">
        <v>0</v>
      </c>
      <c r="AF110" s="112">
        <v>0</v>
      </c>
      <c r="AG110" s="112">
        <v>0</v>
      </c>
      <c r="AH110" s="112">
        <v>0</v>
      </c>
      <c r="AI110" s="112">
        <v>0</v>
      </c>
      <c r="AJ110" s="22">
        <v>0</v>
      </c>
    </row>
    <row r="111" spans="2:36" ht="15" thickTop="1" x14ac:dyDescent="0.35">
      <c r="B111" s="234" t="s">
        <v>167</v>
      </c>
      <c r="C111" s="236" t="s">
        <v>427</v>
      </c>
      <c r="D111" s="107"/>
      <c r="E111" s="20"/>
      <c r="F111" s="108"/>
      <c r="G111" s="108"/>
      <c r="H111" s="108"/>
      <c r="I111" s="108"/>
      <c r="J111" s="108"/>
      <c r="K111" s="258" t="s">
        <v>363</v>
      </c>
      <c r="L111" s="258"/>
      <c r="M111" s="258"/>
      <c r="N111" s="258"/>
      <c r="O111" s="258"/>
      <c r="P111" s="258"/>
      <c r="Q111" s="258"/>
      <c r="R111" s="258"/>
      <c r="S111" s="258"/>
      <c r="T111" s="258"/>
      <c r="U111" s="258"/>
      <c r="V111" s="258"/>
      <c r="W111" s="258"/>
      <c r="X111" s="258" t="s">
        <v>364</v>
      </c>
      <c r="Y111" s="258"/>
      <c r="Z111" s="258"/>
      <c r="AA111" s="258"/>
      <c r="AB111" s="258"/>
      <c r="AC111" s="258"/>
      <c r="AD111" s="258"/>
      <c r="AE111" s="258"/>
      <c r="AF111" s="258"/>
      <c r="AG111" s="258"/>
      <c r="AH111" s="258"/>
      <c r="AI111" s="258"/>
      <c r="AJ111" s="259"/>
    </row>
    <row r="112" spans="2:36" ht="15" thickBot="1" x14ac:dyDescent="0.4">
      <c r="B112" s="235"/>
      <c r="C112" s="237"/>
      <c r="D112" s="110"/>
      <c r="E112" s="21">
        <v>0</v>
      </c>
      <c r="F112" s="111">
        <v>0</v>
      </c>
      <c r="G112" s="111">
        <v>0</v>
      </c>
      <c r="H112" s="111">
        <v>0</v>
      </c>
      <c r="I112" s="111">
        <v>0</v>
      </c>
      <c r="J112" s="111">
        <v>0</v>
      </c>
      <c r="K112" s="112">
        <v>0</v>
      </c>
      <c r="L112" s="112">
        <v>0</v>
      </c>
      <c r="M112" s="112">
        <v>0</v>
      </c>
      <c r="N112" s="112">
        <v>0</v>
      </c>
      <c r="O112" s="112">
        <v>0</v>
      </c>
      <c r="P112" s="112">
        <v>0</v>
      </c>
      <c r="Q112" s="112">
        <v>0</v>
      </c>
      <c r="R112" s="112">
        <v>0</v>
      </c>
      <c r="S112" s="112">
        <v>0</v>
      </c>
      <c r="T112" s="112">
        <v>0</v>
      </c>
      <c r="U112" s="112">
        <v>0</v>
      </c>
      <c r="V112" s="112">
        <v>0</v>
      </c>
      <c r="W112" s="112">
        <v>0</v>
      </c>
      <c r="X112" s="112">
        <v>0</v>
      </c>
      <c r="Y112" s="112">
        <v>0</v>
      </c>
      <c r="Z112" s="112">
        <v>0</v>
      </c>
      <c r="AA112" s="112">
        <v>0</v>
      </c>
      <c r="AB112" s="112">
        <v>0</v>
      </c>
      <c r="AC112" s="112">
        <v>0</v>
      </c>
      <c r="AD112" s="112">
        <v>0</v>
      </c>
      <c r="AE112" s="112">
        <v>0</v>
      </c>
      <c r="AF112" s="112">
        <v>0</v>
      </c>
      <c r="AG112" s="112">
        <v>0</v>
      </c>
      <c r="AH112" s="112">
        <v>0</v>
      </c>
      <c r="AI112" s="112">
        <v>0</v>
      </c>
      <c r="AJ112" s="22">
        <v>0</v>
      </c>
    </row>
    <row r="113" spans="2:36" ht="15" thickTop="1" x14ac:dyDescent="0.35">
      <c r="B113" s="234" t="s">
        <v>168</v>
      </c>
      <c r="C113" s="236" t="s">
        <v>428</v>
      </c>
      <c r="D113" s="107"/>
      <c r="E113" s="20"/>
      <c r="F113" s="108"/>
      <c r="G113" s="108"/>
      <c r="H113" s="108"/>
      <c r="I113" s="108"/>
      <c r="J113" s="108"/>
      <c r="K113" s="258" t="s">
        <v>366</v>
      </c>
      <c r="L113" s="258"/>
      <c r="M113" s="258"/>
      <c r="N113" s="258"/>
      <c r="O113" s="258"/>
      <c r="P113" s="258"/>
      <c r="Q113" s="258"/>
      <c r="R113" s="258"/>
      <c r="S113" s="258"/>
      <c r="T113" s="258"/>
      <c r="U113" s="258"/>
      <c r="V113" s="258"/>
      <c r="W113" s="258"/>
      <c r="X113" s="258" t="s">
        <v>367</v>
      </c>
      <c r="Y113" s="258"/>
      <c r="Z113" s="258"/>
      <c r="AA113" s="258"/>
      <c r="AB113" s="258"/>
      <c r="AC113" s="258"/>
      <c r="AD113" s="258"/>
      <c r="AE113" s="258"/>
      <c r="AF113" s="258"/>
      <c r="AG113" s="258"/>
      <c r="AH113" s="258"/>
      <c r="AI113" s="258"/>
      <c r="AJ113" s="259"/>
    </row>
    <row r="114" spans="2:36" ht="15" thickBot="1" x14ac:dyDescent="0.4">
      <c r="B114" s="235"/>
      <c r="C114" s="237"/>
      <c r="D114" s="110"/>
      <c r="E114" s="21">
        <v>0</v>
      </c>
      <c r="F114" s="111">
        <v>0</v>
      </c>
      <c r="G114" s="111">
        <v>0</v>
      </c>
      <c r="H114" s="111">
        <v>0</v>
      </c>
      <c r="I114" s="111">
        <v>0</v>
      </c>
      <c r="J114" s="111">
        <v>0</v>
      </c>
      <c r="K114" s="112">
        <v>0</v>
      </c>
      <c r="L114" s="112">
        <v>0</v>
      </c>
      <c r="M114" s="112">
        <v>0</v>
      </c>
      <c r="N114" s="112">
        <v>0</v>
      </c>
      <c r="O114" s="112">
        <v>0</v>
      </c>
      <c r="P114" s="112">
        <v>0</v>
      </c>
      <c r="Q114" s="112">
        <v>0</v>
      </c>
      <c r="R114" s="112">
        <v>0</v>
      </c>
      <c r="S114" s="112">
        <v>0</v>
      </c>
      <c r="T114" s="112">
        <v>0</v>
      </c>
      <c r="U114" s="112">
        <v>0</v>
      </c>
      <c r="V114" s="112">
        <v>0</v>
      </c>
      <c r="W114" s="112">
        <v>0</v>
      </c>
      <c r="X114" s="112">
        <v>0</v>
      </c>
      <c r="Y114" s="112">
        <v>0</v>
      </c>
      <c r="Z114" s="112">
        <v>0</v>
      </c>
      <c r="AA114" s="112">
        <v>0</v>
      </c>
      <c r="AB114" s="112">
        <v>0</v>
      </c>
      <c r="AC114" s="112">
        <v>0</v>
      </c>
      <c r="AD114" s="112">
        <v>0</v>
      </c>
      <c r="AE114" s="112">
        <v>0</v>
      </c>
      <c r="AF114" s="112">
        <v>0</v>
      </c>
      <c r="AG114" s="112">
        <v>0</v>
      </c>
      <c r="AH114" s="112">
        <v>0</v>
      </c>
      <c r="AI114" s="112">
        <v>0</v>
      </c>
      <c r="AJ114" s="22">
        <v>0</v>
      </c>
    </row>
    <row r="115" spans="2:36" ht="15" thickTop="1" x14ac:dyDescent="0.35">
      <c r="B115" s="234" t="s">
        <v>169</v>
      </c>
      <c r="C115" s="236" t="s">
        <v>429</v>
      </c>
      <c r="D115" s="107"/>
      <c r="E115" s="20"/>
      <c r="F115" s="108"/>
      <c r="G115" s="108"/>
      <c r="H115" s="108"/>
      <c r="I115" s="108"/>
      <c r="J115" s="108"/>
      <c r="K115" s="258" t="s">
        <v>369</v>
      </c>
      <c r="L115" s="258"/>
      <c r="M115" s="258"/>
      <c r="N115" s="258"/>
      <c r="O115" s="258"/>
      <c r="P115" s="258"/>
      <c r="Q115" s="258"/>
      <c r="R115" s="258"/>
      <c r="S115" s="258"/>
      <c r="T115" s="258"/>
      <c r="U115" s="258"/>
      <c r="V115" s="258"/>
      <c r="W115" s="258"/>
      <c r="X115" s="258" t="s">
        <v>370</v>
      </c>
      <c r="Y115" s="258"/>
      <c r="Z115" s="258"/>
      <c r="AA115" s="258"/>
      <c r="AB115" s="258"/>
      <c r="AC115" s="258"/>
      <c r="AD115" s="258"/>
      <c r="AE115" s="258"/>
      <c r="AF115" s="258"/>
      <c r="AG115" s="258"/>
      <c r="AH115" s="258"/>
      <c r="AI115" s="258"/>
      <c r="AJ115" s="259"/>
    </row>
    <row r="116" spans="2:36" ht="15" thickBot="1" x14ac:dyDescent="0.4">
      <c r="B116" s="235"/>
      <c r="C116" s="237"/>
      <c r="D116" s="110"/>
      <c r="E116" s="21">
        <v>0</v>
      </c>
      <c r="F116" s="111">
        <v>0</v>
      </c>
      <c r="G116" s="111">
        <v>0</v>
      </c>
      <c r="H116" s="111">
        <v>0</v>
      </c>
      <c r="I116" s="111">
        <v>0</v>
      </c>
      <c r="J116" s="111">
        <v>0</v>
      </c>
      <c r="K116" s="112">
        <v>0</v>
      </c>
      <c r="L116" s="112">
        <v>0</v>
      </c>
      <c r="M116" s="112">
        <v>0</v>
      </c>
      <c r="N116" s="112">
        <v>0</v>
      </c>
      <c r="O116" s="112">
        <v>0</v>
      </c>
      <c r="P116" s="112">
        <v>0</v>
      </c>
      <c r="Q116" s="112">
        <v>0</v>
      </c>
      <c r="R116" s="112">
        <v>0</v>
      </c>
      <c r="S116" s="112">
        <v>0</v>
      </c>
      <c r="T116" s="112">
        <v>0</v>
      </c>
      <c r="U116" s="112">
        <v>0</v>
      </c>
      <c r="V116" s="112">
        <v>0</v>
      </c>
      <c r="W116" s="112">
        <v>0</v>
      </c>
      <c r="X116" s="112">
        <v>0</v>
      </c>
      <c r="Y116" s="112">
        <v>0</v>
      </c>
      <c r="Z116" s="112">
        <v>0</v>
      </c>
      <c r="AA116" s="112">
        <v>0</v>
      </c>
      <c r="AB116" s="112">
        <v>0</v>
      </c>
      <c r="AC116" s="112">
        <v>0</v>
      </c>
      <c r="AD116" s="112">
        <v>0</v>
      </c>
      <c r="AE116" s="112">
        <v>0</v>
      </c>
      <c r="AF116" s="112">
        <v>0</v>
      </c>
      <c r="AG116" s="112">
        <v>0</v>
      </c>
      <c r="AH116" s="112">
        <v>0</v>
      </c>
      <c r="AI116" s="112">
        <v>0</v>
      </c>
      <c r="AJ116" s="22">
        <v>0</v>
      </c>
    </row>
    <row r="117" spans="2:36" ht="15" thickTop="1" x14ac:dyDescent="0.35">
      <c r="B117" s="234" t="s">
        <v>170</v>
      </c>
      <c r="C117" s="236" t="s">
        <v>430</v>
      </c>
      <c r="D117" s="107"/>
      <c r="E117" s="20"/>
      <c r="F117" s="108"/>
      <c r="G117" s="108"/>
      <c r="H117" s="108"/>
      <c r="I117" s="108"/>
      <c r="J117" s="108"/>
      <c r="K117" s="258" t="s">
        <v>372</v>
      </c>
      <c r="L117" s="258"/>
      <c r="M117" s="258"/>
      <c r="N117" s="258"/>
      <c r="O117" s="258"/>
      <c r="P117" s="258"/>
      <c r="Q117" s="258"/>
      <c r="R117" s="258"/>
      <c r="S117" s="258"/>
      <c r="T117" s="258"/>
      <c r="U117" s="258"/>
      <c r="V117" s="258"/>
      <c r="W117" s="258"/>
      <c r="X117" s="258" t="s">
        <v>373</v>
      </c>
      <c r="Y117" s="258"/>
      <c r="Z117" s="258"/>
      <c r="AA117" s="258"/>
      <c r="AB117" s="258"/>
      <c r="AC117" s="258"/>
      <c r="AD117" s="258"/>
      <c r="AE117" s="258"/>
      <c r="AF117" s="258"/>
      <c r="AG117" s="258"/>
      <c r="AH117" s="258"/>
      <c r="AI117" s="258"/>
      <c r="AJ117" s="259"/>
    </row>
    <row r="118" spans="2:36" ht="15" thickBot="1" x14ac:dyDescent="0.4">
      <c r="B118" s="235"/>
      <c r="C118" s="237"/>
      <c r="D118" s="110"/>
      <c r="E118" s="21">
        <v>0</v>
      </c>
      <c r="F118" s="111">
        <v>0</v>
      </c>
      <c r="G118" s="111">
        <v>0</v>
      </c>
      <c r="H118" s="111">
        <v>0</v>
      </c>
      <c r="I118" s="111">
        <v>0</v>
      </c>
      <c r="J118" s="111">
        <v>0</v>
      </c>
      <c r="K118" s="112">
        <v>0</v>
      </c>
      <c r="L118" s="112">
        <v>0</v>
      </c>
      <c r="M118" s="112">
        <v>0</v>
      </c>
      <c r="N118" s="112">
        <v>0</v>
      </c>
      <c r="O118" s="112">
        <v>0</v>
      </c>
      <c r="P118" s="112">
        <v>0</v>
      </c>
      <c r="Q118" s="112">
        <v>0</v>
      </c>
      <c r="R118" s="112">
        <v>0</v>
      </c>
      <c r="S118" s="112">
        <v>0</v>
      </c>
      <c r="T118" s="112">
        <v>0</v>
      </c>
      <c r="U118" s="112">
        <v>0</v>
      </c>
      <c r="V118" s="112">
        <v>0</v>
      </c>
      <c r="W118" s="112">
        <v>0</v>
      </c>
      <c r="X118" s="112">
        <v>0</v>
      </c>
      <c r="Y118" s="112">
        <v>0</v>
      </c>
      <c r="Z118" s="112">
        <v>0</v>
      </c>
      <c r="AA118" s="112">
        <v>0</v>
      </c>
      <c r="AB118" s="112">
        <v>0</v>
      </c>
      <c r="AC118" s="112">
        <v>0</v>
      </c>
      <c r="AD118" s="112">
        <v>0</v>
      </c>
      <c r="AE118" s="112">
        <v>0</v>
      </c>
      <c r="AF118" s="112">
        <v>0</v>
      </c>
      <c r="AG118" s="112">
        <v>0</v>
      </c>
      <c r="AH118" s="112">
        <v>0</v>
      </c>
      <c r="AI118" s="112">
        <v>0</v>
      </c>
      <c r="AJ118" s="22">
        <v>0</v>
      </c>
    </row>
    <row r="119" spans="2:36" ht="15" thickTop="1" x14ac:dyDescent="0.35">
      <c r="B119" s="234" t="s">
        <v>171</v>
      </c>
      <c r="C119" s="236" t="s">
        <v>431</v>
      </c>
      <c r="D119" s="107"/>
      <c r="E119" s="20"/>
      <c r="F119" s="108"/>
      <c r="G119" s="108"/>
      <c r="H119" s="108"/>
      <c r="I119" s="108"/>
      <c r="J119" s="108"/>
      <c r="K119" s="258" t="s">
        <v>375</v>
      </c>
      <c r="L119" s="258"/>
      <c r="M119" s="258"/>
      <c r="N119" s="258"/>
      <c r="O119" s="258"/>
      <c r="P119" s="258"/>
      <c r="Q119" s="258"/>
      <c r="R119" s="258"/>
      <c r="S119" s="258"/>
      <c r="T119" s="258"/>
      <c r="U119" s="258"/>
      <c r="V119" s="258"/>
      <c r="W119" s="258"/>
      <c r="X119" s="258" t="s">
        <v>376</v>
      </c>
      <c r="Y119" s="258"/>
      <c r="Z119" s="258"/>
      <c r="AA119" s="258"/>
      <c r="AB119" s="258"/>
      <c r="AC119" s="258"/>
      <c r="AD119" s="258"/>
      <c r="AE119" s="258"/>
      <c r="AF119" s="258"/>
      <c r="AG119" s="258"/>
      <c r="AH119" s="258"/>
      <c r="AI119" s="258"/>
      <c r="AJ119" s="259"/>
    </row>
    <row r="120" spans="2:36" ht="15" thickBot="1" x14ac:dyDescent="0.4">
      <c r="B120" s="235"/>
      <c r="C120" s="237"/>
      <c r="D120" s="110"/>
      <c r="E120" s="21">
        <v>0</v>
      </c>
      <c r="F120" s="111">
        <v>0</v>
      </c>
      <c r="G120" s="111">
        <v>0</v>
      </c>
      <c r="H120" s="111">
        <v>0</v>
      </c>
      <c r="I120" s="111">
        <v>0</v>
      </c>
      <c r="J120" s="111">
        <v>0</v>
      </c>
      <c r="K120" s="112">
        <v>0</v>
      </c>
      <c r="L120" s="112">
        <v>0</v>
      </c>
      <c r="M120" s="112">
        <v>0</v>
      </c>
      <c r="N120" s="112">
        <v>0</v>
      </c>
      <c r="O120" s="112">
        <v>0</v>
      </c>
      <c r="P120" s="112">
        <v>0</v>
      </c>
      <c r="Q120" s="112">
        <v>0</v>
      </c>
      <c r="R120" s="112">
        <v>0</v>
      </c>
      <c r="S120" s="112">
        <v>0</v>
      </c>
      <c r="T120" s="112">
        <v>0</v>
      </c>
      <c r="U120" s="112">
        <v>0</v>
      </c>
      <c r="V120" s="112">
        <v>0</v>
      </c>
      <c r="W120" s="112">
        <v>0</v>
      </c>
      <c r="X120" s="112">
        <v>0</v>
      </c>
      <c r="Y120" s="112">
        <v>0</v>
      </c>
      <c r="Z120" s="112">
        <v>0</v>
      </c>
      <c r="AA120" s="112">
        <v>0</v>
      </c>
      <c r="AB120" s="112">
        <v>0</v>
      </c>
      <c r="AC120" s="112">
        <v>0</v>
      </c>
      <c r="AD120" s="112">
        <v>0</v>
      </c>
      <c r="AE120" s="112">
        <v>0</v>
      </c>
      <c r="AF120" s="112">
        <v>0</v>
      </c>
      <c r="AG120" s="112">
        <v>0</v>
      </c>
      <c r="AH120" s="112">
        <v>0</v>
      </c>
      <c r="AI120" s="112">
        <v>0</v>
      </c>
      <c r="AJ120" s="22">
        <v>0</v>
      </c>
    </row>
    <row r="121" spans="2:36" ht="15" thickTop="1" x14ac:dyDescent="0.35">
      <c r="B121" s="234" t="s">
        <v>172</v>
      </c>
      <c r="C121" s="236" t="s">
        <v>432</v>
      </c>
      <c r="D121" s="107"/>
      <c r="E121" s="20"/>
      <c r="F121" s="108"/>
      <c r="G121" s="108"/>
      <c r="H121" s="108"/>
      <c r="I121" s="108"/>
      <c r="J121" s="108"/>
      <c r="K121" s="258" t="s">
        <v>378</v>
      </c>
      <c r="L121" s="258"/>
      <c r="M121" s="258"/>
      <c r="N121" s="258"/>
      <c r="O121" s="258"/>
      <c r="P121" s="258"/>
      <c r="Q121" s="258"/>
      <c r="R121" s="258"/>
      <c r="S121" s="258"/>
      <c r="T121" s="258"/>
      <c r="U121" s="258"/>
      <c r="V121" s="258"/>
      <c r="W121" s="258"/>
      <c r="X121" s="258" t="s">
        <v>379</v>
      </c>
      <c r="Y121" s="258"/>
      <c r="Z121" s="258"/>
      <c r="AA121" s="258"/>
      <c r="AB121" s="258"/>
      <c r="AC121" s="258"/>
      <c r="AD121" s="258"/>
      <c r="AE121" s="258"/>
      <c r="AF121" s="258"/>
      <c r="AG121" s="258"/>
      <c r="AH121" s="258"/>
      <c r="AI121" s="258"/>
      <c r="AJ121" s="259"/>
    </row>
    <row r="122" spans="2:36" ht="15" thickBot="1" x14ac:dyDescent="0.4">
      <c r="B122" s="235"/>
      <c r="C122" s="237"/>
      <c r="D122" s="110"/>
      <c r="E122" s="21">
        <v>0</v>
      </c>
      <c r="F122" s="111">
        <v>0</v>
      </c>
      <c r="G122" s="111">
        <v>0</v>
      </c>
      <c r="H122" s="111">
        <v>0</v>
      </c>
      <c r="I122" s="111">
        <v>0</v>
      </c>
      <c r="J122" s="111">
        <v>0</v>
      </c>
      <c r="K122" s="112">
        <v>0</v>
      </c>
      <c r="L122" s="112">
        <v>0</v>
      </c>
      <c r="M122" s="112">
        <v>0</v>
      </c>
      <c r="N122" s="112">
        <v>0</v>
      </c>
      <c r="O122" s="112">
        <v>0</v>
      </c>
      <c r="P122" s="112">
        <v>0</v>
      </c>
      <c r="Q122" s="112">
        <v>0</v>
      </c>
      <c r="R122" s="112">
        <v>0</v>
      </c>
      <c r="S122" s="112">
        <v>0</v>
      </c>
      <c r="T122" s="112">
        <v>0</v>
      </c>
      <c r="U122" s="112">
        <v>0</v>
      </c>
      <c r="V122" s="112">
        <v>0</v>
      </c>
      <c r="W122" s="112">
        <v>0</v>
      </c>
      <c r="X122" s="112">
        <v>0</v>
      </c>
      <c r="Y122" s="112">
        <v>0</v>
      </c>
      <c r="Z122" s="112">
        <v>0</v>
      </c>
      <c r="AA122" s="112">
        <v>0</v>
      </c>
      <c r="AB122" s="112">
        <v>0</v>
      </c>
      <c r="AC122" s="112">
        <v>0</v>
      </c>
      <c r="AD122" s="112">
        <v>0</v>
      </c>
      <c r="AE122" s="112">
        <v>0</v>
      </c>
      <c r="AF122" s="112">
        <v>0</v>
      </c>
      <c r="AG122" s="112">
        <v>0</v>
      </c>
      <c r="AH122" s="112">
        <v>0</v>
      </c>
      <c r="AI122" s="112">
        <v>0</v>
      </c>
      <c r="AJ122" s="22">
        <v>0</v>
      </c>
    </row>
    <row r="123" spans="2:36" ht="15" thickTop="1" x14ac:dyDescent="0.35">
      <c r="B123" s="234" t="s">
        <v>173</v>
      </c>
      <c r="C123" s="236" t="s">
        <v>433</v>
      </c>
      <c r="D123" s="107"/>
      <c r="E123" s="20"/>
      <c r="F123" s="108"/>
      <c r="G123" s="108"/>
      <c r="H123" s="108"/>
      <c r="I123" s="108"/>
      <c r="J123" s="108"/>
      <c r="K123" s="258" t="s">
        <v>381</v>
      </c>
      <c r="L123" s="258"/>
      <c r="M123" s="258"/>
      <c r="N123" s="258"/>
      <c r="O123" s="258"/>
      <c r="P123" s="258"/>
      <c r="Q123" s="258"/>
      <c r="R123" s="258"/>
      <c r="S123" s="258"/>
      <c r="T123" s="258"/>
      <c r="U123" s="258"/>
      <c r="V123" s="258"/>
      <c r="W123" s="258"/>
      <c r="X123" s="258" t="s">
        <v>382</v>
      </c>
      <c r="Y123" s="258"/>
      <c r="Z123" s="258"/>
      <c r="AA123" s="258"/>
      <c r="AB123" s="258"/>
      <c r="AC123" s="258"/>
      <c r="AD123" s="258"/>
      <c r="AE123" s="258"/>
      <c r="AF123" s="258"/>
      <c r="AG123" s="258"/>
      <c r="AH123" s="258"/>
      <c r="AI123" s="258"/>
      <c r="AJ123" s="259"/>
    </row>
    <row r="124" spans="2:36" ht="15" thickBot="1" x14ac:dyDescent="0.4">
      <c r="B124" s="235"/>
      <c r="C124" s="237"/>
      <c r="D124" s="110"/>
      <c r="E124" s="21">
        <v>0</v>
      </c>
      <c r="F124" s="111">
        <v>0</v>
      </c>
      <c r="G124" s="111">
        <v>0</v>
      </c>
      <c r="H124" s="111">
        <v>0</v>
      </c>
      <c r="I124" s="111">
        <v>0</v>
      </c>
      <c r="J124" s="111">
        <v>0</v>
      </c>
      <c r="K124" s="112">
        <v>0</v>
      </c>
      <c r="L124" s="112">
        <v>0</v>
      </c>
      <c r="M124" s="112">
        <v>0</v>
      </c>
      <c r="N124" s="112">
        <v>0</v>
      </c>
      <c r="O124" s="112">
        <v>0</v>
      </c>
      <c r="P124" s="112">
        <v>0</v>
      </c>
      <c r="Q124" s="112">
        <v>0</v>
      </c>
      <c r="R124" s="112">
        <v>0</v>
      </c>
      <c r="S124" s="112">
        <v>0</v>
      </c>
      <c r="T124" s="112">
        <v>0</v>
      </c>
      <c r="U124" s="112">
        <v>0</v>
      </c>
      <c r="V124" s="112">
        <v>0</v>
      </c>
      <c r="W124" s="112">
        <v>0</v>
      </c>
      <c r="X124" s="112">
        <v>0</v>
      </c>
      <c r="Y124" s="112">
        <v>0</v>
      </c>
      <c r="Z124" s="112">
        <v>0</v>
      </c>
      <c r="AA124" s="112">
        <v>0</v>
      </c>
      <c r="AB124" s="112">
        <v>0</v>
      </c>
      <c r="AC124" s="112">
        <v>0</v>
      </c>
      <c r="AD124" s="112">
        <v>0</v>
      </c>
      <c r="AE124" s="112">
        <v>0</v>
      </c>
      <c r="AF124" s="112">
        <v>0</v>
      </c>
      <c r="AG124" s="112">
        <v>0</v>
      </c>
      <c r="AH124" s="112">
        <v>0</v>
      </c>
      <c r="AI124" s="112">
        <v>0</v>
      </c>
      <c r="AJ124" s="22">
        <v>0</v>
      </c>
    </row>
    <row r="125" spans="2:36" ht="15" thickTop="1" x14ac:dyDescent="0.35">
      <c r="B125" s="234" t="s">
        <v>174</v>
      </c>
      <c r="C125" s="236" t="s">
        <v>434</v>
      </c>
      <c r="D125" s="107"/>
      <c r="E125" s="20"/>
      <c r="F125" s="108"/>
      <c r="G125" s="108"/>
      <c r="H125" s="108"/>
      <c r="I125" s="108"/>
      <c r="J125" s="108"/>
      <c r="K125" s="258" t="s">
        <v>435</v>
      </c>
      <c r="L125" s="258"/>
      <c r="M125" s="258"/>
      <c r="N125" s="109" t="s">
        <v>384</v>
      </c>
      <c r="O125" s="258" t="s">
        <v>385</v>
      </c>
      <c r="P125" s="258"/>
      <c r="Q125" s="258"/>
      <c r="R125" s="109" t="s">
        <v>386</v>
      </c>
      <c r="S125" s="258" t="s">
        <v>32</v>
      </c>
      <c r="T125" s="258"/>
      <c r="U125" s="258"/>
      <c r="V125" s="109" t="s">
        <v>387</v>
      </c>
      <c r="W125" s="109" t="s">
        <v>388</v>
      </c>
      <c r="X125" s="258" t="s">
        <v>389</v>
      </c>
      <c r="Y125" s="258"/>
      <c r="Z125" s="258"/>
      <c r="AA125" s="258"/>
      <c r="AB125" s="258"/>
      <c r="AC125" s="258"/>
      <c r="AD125" s="258"/>
      <c r="AE125" s="258"/>
      <c r="AF125" s="258"/>
      <c r="AG125" s="258"/>
      <c r="AH125" s="258"/>
      <c r="AI125" s="258"/>
      <c r="AJ125" s="259"/>
    </row>
    <row r="126" spans="2:36" ht="15" thickBot="1" x14ac:dyDescent="0.4">
      <c r="B126" s="235"/>
      <c r="C126" s="237"/>
      <c r="D126" s="110"/>
      <c r="E126" s="21">
        <v>0</v>
      </c>
      <c r="F126" s="111">
        <v>0</v>
      </c>
      <c r="G126" s="111">
        <v>0</v>
      </c>
      <c r="H126" s="111">
        <v>0</v>
      </c>
      <c r="I126" s="111">
        <v>0</v>
      </c>
      <c r="J126" s="111">
        <v>0</v>
      </c>
      <c r="K126" s="112">
        <v>0</v>
      </c>
      <c r="L126" s="112">
        <v>0</v>
      </c>
      <c r="M126" s="112">
        <v>0</v>
      </c>
      <c r="N126" s="112">
        <v>0</v>
      </c>
      <c r="O126" s="112">
        <v>1</v>
      </c>
      <c r="P126" s="112">
        <v>1</v>
      </c>
      <c r="Q126" s="112">
        <v>1</v>
      </c>
      <c r="R126" s="112">
        <v>0</v>
      </c>
      <c r="S126" s="112">
        <v>0</v>
      </c>
      <c r="T126" s="112">
        <v>0</v>
      </c>
      <c r="U126" s="112">
        <v>0</v>
      </c>
      <c r="V126" s="112">
        <v>0</v>
      </c>
      <c r="W126" s="112">
        <v>0</v>
      </c>
      <c r="X126" s="112">
        <v>0</v>
      </c>
      <c r="Y126" s="112">
        <v>0</v>
      </c>
      <c r="Z126" s="112">
        <v>0</v>
      </c>
      <c r="AA126" s="112">
        <v>0</v>
      </c>
      <c r="AB126" s="112">
        <v>0</v>
      </c>
      <c r="AC126" s="112">
        <v>0</v>
      </c>
      <c r="AD126" s="112">
        <v>0</v>
      </c>
      <c r="AE126" s="112">
        <v>0</v>
      </c>
      <c r="AF126" s="112">
        <v>0</v>
      </c>
      <c r="AG126" s="112">
        <v>0</v>
      </c>
      <c r="AH126" s="112">
        <v>0</v>
      </c>
      <c r="AI126" s="112">
        <v>0</v>
      </c>
      <c r="AJ126" s="22">
        <v>0</v>
      </c>
    </row>
    <row r="127" spans="2:36" ht="15" thickTop="1" x14ac:dyDescent="0.35">
      <c r="B127" s="234" t="s">
        <v>175</v>
      </c>
      <c r="C127" s="236" t="s">
        <v>436</v>
      </c>
      <c r="D127" s="107"/>
      <c r="E127" s="20"/>
      <c r="F127" s="108"/>
      <c r="G127" s="108"/>
      <c r="H127" s="108"/>
      <c r="I127" s="108"/>
      <c r="J127" s="108"/>
      <c r="K127" s="258" t="s">
        <v>391</v>
      </c>
      <c r="L127" s="258"/>
      <c r="M127" s="258"/>
      <c r="N127" s="258"/>
      <c r="O127" s="258"/>
      <c r="P127" s="258"/>
      <c r="Q127" s="258"/>
      <c r="R127" s="258"/>
      <c r="S127" s="258"/>
      <c r="T127" s="258"/>
      <c r="U127" s="258"/>
      <c r="V127" s="258"/>
      <c r="W127" s="258"/>
      <c r="X127" s="258"/>
      <c r="Y127" s="258" t="s">
        <v>392</v>
      </c>
      <c r="Z127" s="258"/>
      <c r="AA127" s="258"/>
      <c r="AB127" s="258" t="s">
        <v>393</v>
      </c>
      <c r="AC127" s="258"/>
      <c r="AD127" s="258"/>
      <c r="AE127" s="258"/>
      <c r="AF127" s="258"/>
      <c r="AG127" s="258"/>
      <c r="AH127" s="258"/>
      <c r="AI127" s="258"/>
      <c r="AJ127" s="259"/>
    </row>
    <row r="128" spans="2:36" ht="15" thickBot="1" x14ac:dyDescent="0.4">
      <c r="B128" s="235"/>
      <c r="C128" s="237"/>
      <c r="D128" s="110"/>
      <c r="E128" s="21">
        <v>0</v>
      </c>
      <c r="F128" s="111">
        <v>0</v>
      </c>
      <c r="G128" s="111">
        <v>0</v>
      </c>
      <c r="H128" s="111">
        <v>0</v>
      </c>
      <c r="I128" s="111">
        <v>0</v>
      </c>
      <c r="J128" s="111">
        <v>0</v>
      </c>
      <c r="K128" s="112">
        <v>0</v>
      </c>
      <c r="L128" s="112">
        <v>0</v>
      </c>
      <c r="M128" s="112">
        <v>0</v>
      </c>
      <c r="N128" s="112">
        <v>0</v>
      </c>
      <c r="O128" s="112">
        <v>0</v>
      </c>
      <c r="P128" s="112">
        <v>0</v>
      </c>
      <c r="Q128" s="112">
        <v>0</v>
      </c>
      <c r="R128" s="112">
        <v>0</v>
      </c>
      <c r="S128" s="112">
        <v>0</v>
      </c>
      <c r="T128" s="112">
        <v>0</v>
      </c>
      <c r="U128" s="112">
        <v>0</v>
      </c>
      <c r="V128" s="112">
        <v>0</v>
      </c>
      <c r="W128" s="112">
        <v>0</v>
      </c>
      <c r="X128" s="112">
        <v>0</v>
      </c>
      <c r="Y128" s="112">
        <v>0</v>
      </c>
      <c r="Z128" s="112">
        <v>0</v>
      </c>
      <c r="AA128" s="112">
        <v>0</v>
      </c>
      <c r="AB128" s="112">
        <v>0</v>
      </c>
      <c r="AC128" s="112">
        <v>0</v>
      </c>
      <c r="AD128" s="112">
        <v>0</v>
      </c>
      <c r="AE128" s="112">
        <v>0</v>
      </c>
      <c r="AF128" s="112">
        <v>0</v>
      </c>
      <c r="AG128" s="112">
        <v>0</v>
      </c>
      <c r="AH128" s="112">
        <v>0</v>
      </c>
      <c r="AI128" s="112">
        <v>0</v>
      </c>
      <c r="AJ128" s="22">
        <v>0</v>
      </c>
    </row>
    <row r="129" spans="2:36" ht="15" thickTop="1" x14ac:dyDescent="0.35">
      <c r="B129" s="234" t="s">
        <v>176</v>
      </c>
      <c r="C129" s="236" t="s">
        <v>437</v>
      </c>
      <c r="D129" s="107"/>
      <c r="E129" s="20"/>
      <c r="F129" s="108"/>
      <c r="G129" s="108"/>
      <c r="H129" s="108"/>
      <c r="I129" s="108"/>
      <c r="J129" s="108"/>
      <c r="K129" s="108"/>
      <c r="L129" s="109" t="s">
        <v>395</v>
      </c>
      <c r="M129" s="258" t="s">
        <v>13</v>
      </c>
      <c r="N129" s="258"/>
      <c r="O129" s="258"/>
      <c r="P129" s="258"/>
      <c r="Q129" s="258"/>
      <c r="R129" s="258"/>
      <c r="S129" s="258"/>
      <c r="T129" s="258"/>
      <c r="U129" s="258"/>
      <c r="V129" s="258"/>
      <c r="W129" s="258"/>
      <c r="X129" s="258"/>
      <c r="Y129" s="258" t="s">
        <v>14</v>
      </c>
      <c r="Z129" s="258"/>
      <c r="AA129" s="258"/>
      <c r="AB129" s="258"/>
      <c r="AC129" s="258"/>
      <c r="AD129" s="258"/>
      <c r="AE129" s="258"/>
      <c r="AF129" s="258"/>
      <c r="AG129" s="258"/>
      <c r="AH129" s="258"/>
      <c r="AI129" s="258"/>
      <c r="AJ129" s="259"/>
    </row>
    <row r="130" spans="2:36" ht="15" thickBot="1" x14ac:dyDescent="0.4">
      <c r="B130" s="235"/>
      <c r="C130" s="237"/>
      <c r="D130" s="110"/>
      <c r="E130" s="21">
        <v>0</v>
      </c>
      <c r="F130" s="111">
        <v>0</v>
      </c>
      <c r="G130" s="111">
        <v>0</v>
      </c>
      <c r="H130" s="111">
        <v>0</v>
      </c>
      <c r="I130" s="111">
        <v>0</v>
      </c>
      <c r="J130" s="111">
        <v>0</v>
      </c>
      <c r="K130" s="111">
        <v>0</v>
      </c>
      <c r="L130" s="112">
        <v>0</v>
      </c>
      <c r="M130" s="112">
        <v>0</v>
      </c>
      <c r="N130" s="112">
        <v>0</v>
      </c>
      <c r="O130" s="112">
        <v>0</v>
      </c>
      <c r="P130" s="112">
        <v>0</v>
      </c>
      <c r="Q130" s="112">
        <v>0</v>
      </c>
      <c r="R130" s="112">
        <v>0</v>
      </c>
      <c r="S130" s="112">
        <v>0</v>
      </c>
      <c r="T130" s="112">
        <v>0</v>
      </c>
      <c r="U130" s="112">
        <v>0</v>
      </c>
      <c r="V130" s="112">
        <v>0</v>
      </c>
      <c r="W130" s="112">
        <v>0</v>
      </c>
      <c r="X130" s="112">
        <v>0</v>
      </c>
      <c r="Y130" s="112">
        <v>0</v>
      </c>
      <c r="Z130" s="112">
        <v>0</v>
      </c>
      <c r="AA130" s="112">
        <v>0</v>
      </c>
      <c r="AB130" s="112">
        <v>0</v>
      </c>
      <c r="AC130" s="112">
        <v>0</v>
      </c>
      <c r="AD130" s="112">
        <v>0</v>
      </c>
      <c r="AE130" s="112">
        <v>0</v>
      </c>
      <c r="AF130" s="112">
        <v>0</v>
      </c>
      <c r="AG130" s="112">
        <v>0</v>
      </c>
      <c r="AH130" s="112">
        <v>0</v>
      </c>
      <c r="AI130" s="112">
        <v>0</v>
      </c>
      <c r="AJ130" s="22">
        <v>0</v>
      </c>
    </row>
    <row r="131" spans="2:36" ht="15" thickTop="1" x14ac:dyDescent="0.35">
      <c r="B131" s="234" t="s">
        <v>177</v>
      </c>
      <c r="C131" s="236" t="s">
        <v>438</v>
      </c>
      <c r="D131" s="107"/>
      <c r="E131" s="20"/>
      <c r="F131" s="108"/>
      <c r="G131" s="108"/>
      <c r="H131" s="108"/>
      <c r="I131" s="108"/>
      <c r="J131" s="108"/>
      <c r="K131" s="258" t="s">
        <v>439</v>
      </c>
      <c r="L131" s="258"/>
      <c r="M131" s="258"/>
      <c r="N131" s="258"/>
      <c r="O131" s="258"/>
      <c r="P131" s="258"/>
      <c r="Q131" s="109" t="s">
        <v>397</v>
      </c>
      <c r="R131" s="258" t="s">
        <v>398</v>
      </c>
      <c r="S131" s="258"/>
      <c r="T131" s="258"/>
      <c r="U131" s="258"/>
      <c r="V131" s="258"/>
      <c r="W131" s="258"/>
      <c r="X131" s="258"/>
      <c r="Y131" s="258"/>
      <c r="Z131" s="109" t="s">
        <v>18</v>
      </c>
      <c r="AA131" s="109" t="s">
        <v>399</v>
      </c>
      <c r="AB131" s="109" t="s">
        <v>400</v>
      </c>
      <c r="AC131" s="258" t="s">
        <v>401</v>
      </c>
      <c r="AD131" s="258"/>
      <c r="AE131" s="258" t="s">
        <v>402</v>
      </c>
      <c r="AF131" s="258"/>
      <c r="AG131" s="258" t="s">
        <v>16</v>
      </c>
      <c r="AH131" s="258"/>
      <c r="AI131" s="258"/>
      <c r="AJ131" s="259"/>
    </row>
    <row r="132" spans="2:36" ht="15" thickBot="1" x14ac:dyDescent="0.4">
      <c r="B132" s="235"/>
      <c r="C132" s="237"/>
      <c r="D132" s="110"/>
      <c r="E132" s="21">
        <v>0</v>
      </c>
      <c r="F132" s="111">
        <v>0</v>
      </c>
      <c r="G132" s="111">
        <v>0</v>
      </c>
      <c r="H132" s="111">
        <v>0</v>
      </c>
      <c r="I132" s="111">
        <v>0</v>
      </c>
      <c r="J132" s="111">
        <v>0</v>
      </c>
      <c r="K132" s="112">
        <v>0</v>
      </c>
      <c r="L132" s="112">
        <v>0</v>
      </c>
      <c r="M132" s="112">
        <v>0</v>
      </c>
      <c r="N132" s="112">
        <v>0</v>
      </c>
      <c r="O132" s="112">
        <v>0</v>
      </c>
      <c r="P132" s="112">
        <v>0</v>
      </c>
      <c r="Q132" s="112">
        <v>0</v>
      </c>
      <c r="R132" s="112">
        <v>0</v>
      </c>
      <c r="S132" s="112">
        <v>0</v>
      </c>
      <c r="T132" s="112">
        <v>0</v>
      </c>
      <c r="U132" s="112">
        <v>0</v>
      </c>
      <c r="V132" s="112">
        <v>0</v>
      </c>
      <c r="W132" s="112">
        <v>0</v>
      </c>
      <c r="X132" s="112">
        <v>0</v>
      </c>
      <c r="Y132" s="112">
        <v>0</v>
      </c>
      <c r="Z132" s="112">
        <v>0</v>
      </c>
      <c r="AA132" s="112">
        <v>0</v>
      </c>
      <c r="AB132" s="112">
        <v>0</v>
      </c>
      <c r="AC132" s="112">
        <v>0</v>
      </c>
      <c r="AD132" s="112">
        <v>0</v>
      </c>
      <c r="AE132" s="112">
        <v>0</v>
      </c>
      <c r="AF132" s="112">
        <v>0</v>
      </c>
      <c r="AG132" s="112">
        <v>0</v>
      </c>
      <c r="AH132" s="112">
        <v>0</v>
      </c>
      <c r="AI132" s="112">
        <v>0</v>
      </c>
      <c r="AJ132" s="22">
        <v>0</v>
      </c>
    </row>
    <row r="133" spans="2:36" ht="15" thickTop="1" x14ac:dyDescent="0.35">
      <c r="B133" s="234" t="s">
        <v>178</v>
      </c>
      <c r="C133" s="236" t="s">
        <v>440</v>
      </c>
      <c r="D133" s="107"/>
      <c r="E133" s="20"/>
      <c r="F133" s="108"/>
      <c r="G133" s="108"/>
      <c r="H133" s="108"/>
      <c r="I133" s="108"/>
      <c r="J133" s="108"/>
      <c r="K133" s="108"/>
      <c r="L133" s="108"/>
      <c r="M133" s="258" t="s">
        <v>404</v>
      </c>
      <c r="N133" s="258"/>
      <c r="O133" s="258"/>
      <c r="P133" s="258"/>
      <c r="Q133" s="258"/>
      <c r="R133" s="258"/>
      <c r="S133" s="258"/>
      <c r="T133" s="258"/>
      <c r="U133" s="258"/>
      <c r="V133" s="258"/>
      <c r="W133" s="258"/>
      <c r="X133" s="258"/>
      <c r="Y133" s="258"/>
      <c r="Z133" s="258"/>
      <c r="AA133" s="258"/>
      <c r="AB133" s="258"/>
      <c r="AC133" s="258"/>
      <c r="AD133" s="258"/>
      <c r="AE133" s="258"/>
      <c r="AF133" s="258"/>
      <c r="AG133" s="258"/>
      <c r="AH133" s="258"/>
      <c r="AI133" s="258"/>
      <c r="AJ133" s="259"/>
    </row>
    <row r="134" spans="2:36" ht="15" thickBot="1" x14ac:dyDescent="0.4">
      <c r="B134" s="235"/>
      <c r="C134" s="237"/>
      <c r="D134" s="110"/>
      <c r="E134" s="21">
        <v>0</v>
      </c>
      <c r="F134" s="111">
        <v>0</v>
      </c>
      <c r="G134" s="111">
        <v>0</v>
      </c>
      <c r="H134" s="111">
        <v>0</v>
      </c>
      <c r="I134" s="111">
        <v>0</v>
      </c>
      <c r="J134" s="111">
        <v>0</v>
      </c>
      <c r="K134" s="111">
        <v>0</v>
      </c>
      <c r="L134" s="111">
        <v>0</v>
      </c>
      <c r="M134" s="112">
        <v>0</v>
      </c>
      <c r="N134" s="112">
        <v>0</v>
      </c>
      <c r="O134" s="112">
        <v>0</v>
      </c>
      <c r="P134" s="112">
        <v>0</v>
      </c>
      <c r="Q134" s="112">
        <v>0</v>
      </c>
      <c r="R134" s="112">
        <v>0</v>
      </c>
      <c r="S134" s="112">
        <v>0</v>
      </c>
      <c r="T134" s="112">
        <v>0</v>
      </c>
      <c r="U134" s="112">
        <v>0</v>
      </c>
      <c r="V134" s="112">
        <v>0</v>
      </c>
      <c r="W134" s="112">
        <v>0</v>
      </c>
      <c r="X134" s="112">
        <v>0</v>
      </c>
      <c r="Y134" s="112">
        <v>0</v>
      </c>
      <c r="Z134" s="112">
        <v>0</v>
      </c>
      <c r="AA134" s="112">
        <v>0</v>
      </c>
      <c r="AB134" s="112">
        <v>0</v>
      </c>
      <c r="AC134" s="112">
        <v>0</v>
      </c>
      <c r="AD134" s="112">
        <v>0</v>
      </c>
      <c r="AE134" s="112">
        <v>0</v>
      </c>
      <c r="AF134" s="112">
        <v>0</v>
      </c>
      <c r="AG134" s="112">
        <v>0</v>
      </c>
      <c r="AH134" s="112">
        <v>0</v>
      </c>
      <c r="AI134" s="112">
        <v>0</v>
      </c>
      <c r="AJ134" s="22">
        <v>0</v>
      </c>
    </row>
    <row r="135" spans="2:36" ht="15" customHeight="1" thickTop="1" x14ac:dyDescent="0.35">
      <c r="B135" s="226" t="s">
        <v>179</v>
      </c>
      <c r="C135" s="228" t="s">
        <v>80</v>
      </c>
      <c r="D135" s="125"/>
      <c r="E135" s="252" t="s">
        <v>81</v>
      </c>
      <c r="F135" s="253"/>
      <c r="G135" s="253" t="s">
        <v>82</v>
      </c>
      <c r="H135" s="253"/>
      <c r="I135" s="253" t="s">
        <v>83</v>
      </c>
      <c r="J135" s="253"/>
      <c r="K135" s="253" t="s">
        <v>84</v>
      </c>
      <c r="L135" s="253"/>
      <c r="M135" s="253"/>
      <c r="N135" s="253"/>
      <c r="O135" s="253"/>
      <c r="P135" s="253"/>
      <c r="Q135" s="127" t="s">
        <v>85</v>
      </c>
      <c r="R135" s="127" t="s">
        <v>86</v>
      </c>
      <c r="S135" s="127" t="s">
        <v>87</v>
      </c>
      <c r="T135" s="127" t="s">
        <v>88</v>
      </c>
      <c r="U135" s="127" t="s">
        <v>89</v>
      </c>
      <c r="V135" s="127" t="s">
        <v>90</v>
      </c>
      <c r="W135" s="253" t="s">
        <v>91</v>
      </c>
      <c r="X135" s="253"/>
      <c r="Y135" s="127" t="s">
        <v>92</v>
      </c>
      <c r="Z135" s="127" t="s">
        <v>93</v>
      </c>
      <c r="AA135" s="127" t="s">
        <v>94</v>
      </c>
      <c r="AB135" s="127" t="s">
        <v>95</v>
      </c>
      <c r="AC135" s="127" t="s">
        <v>96</v>
      </c>
      <c r="AD135" s="127" t="s">
        <v>97</v>
      </c>
      <c r="AE135" s="253" t="s">
        <v>98</v>
      </c>
      <c r="AF135" s="253"/>
      <c r="AG135" s="253" t="s">
        <v>99</v>
      </c>
      <c r="AH135" s="253"/>
      <c r="AI135" s="253"/>
      <c r="AJ135" s="54" t="s">
        <v>100</v>
      </c>
    </row>
    <row r="136" spans="2:36" ht="15" customHeight="1" thickBot="1" x14ac:dyDescent="0.4">
      <c r="B136" s="227"/>
      <c r="C136" s="229"/>
      <c r="D136" s="128"/>
      <c r="E136" s="33">
        <v>0</v>
      </c>
      <c r="F136" s="130">
        <v>0</v>
      </c>
      <c r="G136" s="130">
        <v>0</v>
      </c>
      <c r="H136" s="130">
        <v>0</v>
      </c>
      <c r="I136" s="130">
        <v>0</v>
      </c>
      <c r="J136" s="130">
        <v>0</v>
      </c>
      <c r="K136" s="130">
        <v>0</v>
      </c>
      <c r="L136" s="130">
        <v>0</v>
      </c>
      <c r="M136" s="130">
        <v>0</v>
      </c>
      <c r="N136" s="130">
        <v>0</v>
      </c>
      <c r="O136" s="130">
        <v>0</v>
      </c>
      <c r="P136" s="130">
        <v>0</v>
      </c>
      <c r="Q136" s="130">
        <v>0</v>
      </c>
      <c r="R136" s="130">
        <v>0</v>
      </c>
      <c r="S136" s="130">
        <v>0</v>
      </c>
      <c r="T136" s="130">
        <v>0</v>
      </c>
      <c r="U136" s="130">
        <v>0</v>
      </c>
      <c r="V136" s="130">
        <v>0</v>
      </c>
      <c r="W136" s="130">
        <v>0</v>
      </c>
      <c r="X136" s="130">
        <v>0</v>
      </c>
      <c r="Y136" s="130">
        <v>0</v>
      </c>
      <c r="Z136" s="130">
        <v>0</v>
      </c>
      <c r="AA136" s="130">
        <v>0</v>
      </c>
      <c r="AB136" s="130">
        <v>0</v>
      </c>
      <c r="AC136" s="130">
        <v>0</v>
      </c>
      <c r="AD136" s="130">
        <v>0</v>
      </c>
      <c r="AE136" s="130">
        <v>0</v>
      </c>
      <c r="AF136" s="130">
        <v>0</v>
      </c>
      <c r="AG136" s="130">
        <v>0</v>
      </c>
      <c r="AH136" s="130">
        <v>0</v>
      </c>
      <c r="AI136" s="130">
        <v>0</v>
      </c>
      <c r="AJ136" s="30">
        <v>0</v>
      </c>
    </row>
    <row r="137" spans="2:36" ht="15" thickTop="1" x14ac:dyDescent="0.35">
      <c r="B137" s="226" t="s">
        <v>180</v>
      </c>
      <c r="C137" s="228" t="s">
        <v>51</v>
      </c>
      <c r="D137" s="125"/>
      <c r="E137" s="28"/>
      <c r="F137" s="126"/>
      <c r="G137" s="126"/>
      <c r="H137" s="126"/>
      <c r="I137" s="126"/>
      <c r="J137" s="126"/>
      <c r="K137" s="126"/>
      <c r="L137" s="126"/>
      <c r="M137" s="126"/>
      <c r="N137" s="126"/>
      <c r="O137" s="126"/>
      <c r="P137" s="126"/>
      <c r="Q137" s="127" t="s">
        <v>52</v>
      </c>
      <c r="R137" s="127" t="s">
        <v>53</v>
      </c>
      <c r="S137" s="253" t="s">
        <v>57</v>
      </c>
      <c r="T137" s="253"/>
      <c r="U137" s="253"/>
      <c r="V137" s="253"/>
      <c r="W137" s="253"/>
      <c r="X137" s="253"/>
      <c r="Y137" s="253" t="s">
        <v>56</v>
      </c>
      <c r="Z137" s="253"/>
      <c r="AA137" s="253"/>
      <c r="AB137" s="253"/>
      <c r="AC137" s="253"/>
      <c r="AD137" s="253" t="s">
        <v>55</v>
      </c>
      <c r="AE137" s="253"/>
      <c r="AF137" s="253"/>
      <c r="AG137" s="253"/>
      <c r="AH137" s="253"/>
      <c r="AI137" s="127" t="s">
        <v>58</v>
      </c>
      <c r="AJ137" s="54" t="s">
        <v>54</v>
      </c>
    </row>
    <row r="138" spans="2:36" ht="15" thickBot="1" x14ac:dyDescent="0.4">
      <c r="B138" s="227"/>
      <c r="C138" s="229"/>
      <c r="D138" s="128"/>
      <c r="E138" s="29">
        <v>0</v>
      </c>
      <c r="F138" s="129">
        <v>0</v>
      </c>
      <c r="G138" s="129">
        <v>0</v>
      </c>
      <c r="H138" s="129">
        <v>0</v>
      </c>
      <c r="I138" s="129">
        <v>0</v>
      </c>
      <c r="J138" s="129">
        <v>0</v>
      </c>
      <c r="K138" s="129">
        <v>0</v>
      </c>
      <c r="L138" s="129">
        <v>0</v>
      </c>
      <c r="M138" s="129">
        <v>0</v>
      </c>
      <c r="N138" s="129">
        <v>0</v>
      </c>
      <c r="O138" s="129">
        <v>0</v>
      </c>
      <c r="P138" s="129">
        <v>0</v>
      </c>
      <c r="Q138" s="130">
        <v>0</v>
      </c>
      <c r="R138" s="130">
        <v>0</v>
      </c>
      <c r="S138" s="130">
        <v>0</v>
      </c>
      <c r="T138" s="130">
        <v>0</v>
      </c>
      <c r="U138" s="130">
        <v>0</v>
      </c>
      <c r="V138" s="130">
        <v>0</v>
      </c>
      <c r="W138" s="130">
        <v>0</v>
      </c>
      <c r="X138" s="130">
        <v>0</v>
      </c>
      <c r="Y138" s="130">
        <v>1</v>
      </c>
      <c r="Z138" s="130">
        <v>1</v>
      </c>
      <c r="AA138" s="130">
        <v>1</v>
      </c>
      <c r="AB138" s="130">
        <v>1</v>
      </c>
      <c r="AC138" s="130">
        <v>1</v>
      </c>
      <c r="AD138" s="130">
        <v>0</v>
      </c>
      <c r="AE138" s="130">
        <v>0</v>
      </c>
      <c r="AF138" s="130">
        <v>0</v>
      </c>
      <c r="AG138" s="130">
        <v>0</v>
      </c>
      <c r="AH138" s="130">
        <v>0</v>
      </c>
      <c r="AI138" s="130">
        <v>0</v>
      </c>
      <c r="AJ138" s="30">
        <v>0</v>
      </c>
    </row>
    <row r="139" spans="2:36" ht="15" thickTop="1" x14ac:dyDescent="0.35">
      <c r="B139" s="226" t="s">
        <v>181</v>
      </c>
      <c r="C139" s="228" t="s">
        <v>50</v>
      </c>
      <c r="D139" s="125"/>
      <c r="E139" s="28"/>
      <c r="F139" s="126"/>
      <c r="G139" s="126"/>
      <c r="H139" s="126"/>
      <c r="I139" s="126"/>
      <c r="J139" s="126"/>
      <c r="K139" s="253" t="s">
        <v>50</v>
      </c>
      <c r="L139" s="253"/>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4"/>
    </row>
    <row r="140" spans="2:36" ht="15" thickBot="1" x14ac:dyDescent="0.4">
      <c r="B140" s="227"/>
      <c r="C140" s="229"/>
      <c r="D140" s="128"/>
      <c r="E140" s="29">
        <v>0</v>
      </c>
      <c r="F140" s="129">
        <v>0</v>
      </c>
      <c r="G140" s="129">
        <v>0</v>
      </c>
      <c r="H140" s="129">
        <v>0</v>
      </c>
      <c r="I140" s="129">
        <v>0</v>
      </c>
      <c r="J140" s="129">
        <v>0</v>
      </c>
      <c r="K140" s="130">
        <v>0</v>
      </c>
      <c r="L140" s="130">
        <v>0</v>
      </c>
      <c r="M140" s="130">
        <v>0</v>
      </c>
      <c r="N140" s="130">
        <v>0</v>
      </c>
      <c r="O140" s="130">
        <v>0</v>
      </c>
      <c r="P140" s="130">
        <v>0</v>
      </c>
      <c r="Q140" s="130">
        <v>0</v>
      </c>
      <c r="R140" s="130">
        <v>0</v>
      </c>
      <c r="S140" s="130">
        <v>0</v>
      </c>
      <c r="T140" s="130">
        <v>0</v>
      </c>
      <c r="U140" s="130">
        <v>0</v>
      </c>
      <c r="V140" s="130">
        <v>0</v>
      </c>
      <c r="W140" s="130">
        <v>0</v>
      </c>
      <c r="X140" s="130">
        <v>0</v>
      </c>
      <c r="Y140" s="130">
        <v>0</v>
      </c>
      <c r="Z140" s="130">
        <v>0</v>
      </c>
      <c r="AA140" s="130">
        <v>0</v>
      </c>
      <c r="AB140" s="130">
        <v>0</v>
      </c>
      <c r="AC140" s="130">
        <v>0</v>
      </c>
      <c r="AD140" s="130">
        <v>0</v>
      </c>
      <c r="AE140" s="130">
        <v>0</v>
      </c>
      <c r="AF140" s="130">
        <v>0</v>
      </c>
      <c r="AG140" s="130">
        <v>0</v>
      </c>
      <c r="AH140" s="130">
        <v>0</v>
      </c>
      <c r="AI140" s="130">
        <v>0</v>
      </c>
      <c r="AJ140" s="30">
        <v>0</v>
      </c>
    </row>
    <row r="141" spans="2:36" ht="15" thickTop="1" x14ac:dyDescent="0.35">
      <c r="B141" s="226" t="s">
        <v>182</v>
      </c>
      <c r="C141" s="228" t="s">
        <v>59</v>
      </c>
      <c r="D141" s="125"/>
      <c r="E141" s="28"/>
      <c r="F141" s="126"/>
      <c r="G141" s="126"/>
      <c r="H141" s="126"/>
      <c r="I141" s="126"/>
      <c r="J141" s="126"/>
      <c r="K141" s="126"/>
      <c r="L141" s="126"/>
      <c r="M141" s="126"/>
      <c r="N141" s="126"/>
      <c r="O141" s="126"/>
      <c r="P141" s="126"/>
      <c r="Q141" s="126"/>
      <c r="R141" s="126"/>
      <c r="S141" s="126"/>
      <c r="T141" s="126"/>
      <c r="U141" s="126"/>
      <c r="V141" s="126"/>
      <c r="W141" s="126"/>
      <c r="X141" s="127" t="s">
        <v>60</v>
      </c>
      <c r="Y141" s="253" t="s">
        <v>61</v>
      </c>
      <c r="Z141" s="253"/>
      <c r="AA141" s="253"/>
      <c r="AB141" s="253"/>
      <c r="AC141" s="253"/>
      <c r="AD141" s="127" t="s">
        <v>62</v>
      </c>
      <c r="AE141" s="127" t="s">
        <v>63</v>
      </c>
      <c r="AF141" s="253" t="s">
        <v>64</v>
      </c>
      <c r="AG141" s="253"/>
      <c r="AH141" s="127" t="s">
        <v>65</v>
      </c>
      <c r="AI141" s="127" t="s">
        <v>66</v>
      </c>
      <c r="AJ141" s="54" t="s">
        <v>67</v>
      </c>
    </row>
    <row r="142" spans="2:36" ht="15" thickBot="1" x14ac:dyDescent="0.4">
      <c r="B142" s="227"/>
      <c r="C142" s="229"/>
      <c r="D142" s="128"/>
      <c r="E142" s="29">
        <v>0</v>
      </c>
      <c r="F142" s="129">
        <v>0</v>
      </c>
      <c r="G142" s="129">
        <v>0</v>
      </c>
      <c r="H142" s="129">
        <v>0</v>
      </c>
      <c r="I142" s="129">
        <v>0</v>
      </c>
      <c r="J142" s="129">
        <v>0</v>
      </c>
      <c r="K142" s="129">
        <v>0</v>
      </c>
      <c r="L142" s="129">
        <v>0</v>
      </c>
      <c r="M142" s="129">
        <v>0</v>
      </c>
      <c r="N142" s="129">
        <v>0</v>
      </c>
      <c r="O142" s="129">
        <v>0</v>
      </c>
      <c r="P142" s="129">
        <v>0</v>
      </c>
      <c r="Q142" s="129">
        <v>0</v>
      </c>
      <c r="R142" s="129">
        <v>0</v>
      </c>
      <c r="S142" s="129">
        <v>0</v>
      </c>
      <c r="T142" s="129">
        <v>0</v>
      </c>
      <c r="U142" s="129">
        <v>0</v>
      </c>
      <c r="V142" s="129">
        <v>0</v>
      </c>
      <c r="W142" s="129">
        <v>0</v>
      </c>
      <c r="X142" s="130">
        <v>0</v>
      </c>
      <c r="Y142" s="130">
        <v>0</v>
      </c>
      <c r="Z142" s="130">
        <v>0</v>
      </c>
      <c r="AA142" s="130">
        <v>0</v>
      </c>
      <c r="AB142" s="130">
        <v>0</v>
      </c>
      <c r="AC142" s="130">
        <v>0</v>
      </c>
      <c r="AD142" s="130">
        <v>0</v>
      </c>
      <c r="AE142" s="130">
        <v>0</v>
      </c>
      <c r="AF142" s="130">
        <v>0</v>
      </c>
      <c r="AG142" s="130">
        <v>0</v>
      </c>
      <c r="AH142" s="130">
        <v>0</v>
      </c>
      <c r="AI142" s="130">
        <v>0</v>
      </c>
      <c r="AJ142" s="30">
        <v>0</v>
      </c>
    </row>
    <row r="143" spans="2:36" ht="15" thickTop="1" x14ac:dyDescent="0.35">
      <c r="B143" s="226" t="s">
        <v>183</v>
      </c>
      <c r="C143" s="228" t="s">
        <v>101</v>
      </c>
      <c r="D143" s="125"/>
      <c r="E143" s="28"/>
      <c r="F143" s="126"/>
      <c r="G143" s="126"/>
      <c r="H143" s="126"/>
      <c r="I143" s="126"/>
      <c r="J143" s="126"/>
      <c r="K143" s="126"/>
      <c r="L143" s="126"/>
      <c r="M143" s="126"/>
      <c r="N143" s="126"/>
      <c r="O143" s="126"/>
      <c r="P143" s="126"/>
      <c r="Q143" s="126"/>
      <c r="R143" s="126"/>
      <c r="S143" s="126"/>
      <c r="T143" s="126"/>
      <c r="U143" s="126"/>
      <c r="V143" s="126"/>
      <c r="W143" s="126"/>
      <c r="X143" s="126"/>
      <c r="Y143" s="126"/>
      <c r="Z143" s="126"/>
      <c r="AA143" s="126"/>
      <c r="AB143" s="126"/>
      <c r="AC143" s="126"/>
      <c r="AD143" s="126"/>
      <c r="AE143" s="126"/>
      <c r="AF143" s="253" t="s">
        <v>102</v>
      </c>
      <c r="AG143" s="253"/>
      <c r="AH143" s="253" t="s">
        <v>103</v>
      </c>
      <c r="AI143" s="253"/>
      <c r="AJ143" s="54" t="s">
        <v>104</v>
      </c>
    </row>
    <row r="144" spans="2:36" ht="15" thickBot="1" x14ac:dyDescent="0.4">
      <c r="B144" s="227"/>
      <c r="C144" s="229"/>
      <c r="D144" s="128"/>
      <c r="E144" s="29">
        <v>0</v>
      </c>
      <c r="F144" s="129">
        <v>0</v>
      </c>
      <c r="G144" s="129">
        <v>0</v>
      </c>
      <c r="H144" s="129">
        <v>0</v>
      </c>
      <c r="I144" s="129">
        <v>0</v>
      </c>
      <c r="J144" s="129">
        <v>0</v>
      </c>
      <c r="K144" s="129">
        <v>0</v>
      </c>
      <c r="L144" s="129">
        <v>0</v>
      </c>
      <c r="M144" s="129">
        <v>0</v>
      </c>
      <c r="N144" s="129">
        <v>0</v>
      </c>
      <c r="O144" s="129">
        <v>0</v>
      </c>
      <c r="P144" s="129">
        <v>0</v>
      </c>
      <c r="Q144" s="129">
        <v>0</v>
      </c>
      <c r="R144" s="129">
        <v>0</v>
      </c>
      <c r="S144" s="129">
        <v>0</v>
      </c>
      <c r="T144" s="129">
        <v>0</v>
      </c>
      <c r="U144" s="129">
        <v>0</v>
      </c>
      <c r="V144" s="129">
        <v>0</v>
      </c>
      <c r="W144" s="129">
        <v>0</v>
      </c>
      <c r="X144" s="129">
        <v>0</v>
      </c>
      <c r="Y144" s="129">
        <v>0</v>
      </c>
      <c r="Z144" s="129">
        <v>0</v>
      </c>
      <c r="AA144" s="129">
        <v>0</v>
      </c>
      <c r="AB144" s="129">
        <v>0</v>
      </c>
      <c r="AC144" s="129">
        <v>0</v>
      </c>
      <c r="AD144" s="129">
        <v>0</v>
      </c>
      <c r="AE144" s="129">
        <v>0</v>
      </c>
      <c r="AF144" s="130">
        <v>0</v>
      </c>
      <c r="AG144" s="130">
        <v>0</v>
      </c>
      <c r="AH144" s="130">
        <v>0</v>
      </c>
      <c r="AI144" s="130">
        <v>0</v>
      </c>
      <c r="AJ144" s="30">
        <v>0</v>
      </c>
    </row>
    <row r="145" spans="2:36" ht="15" thickTop="1" x14ac:dyDescent="0.35">
      <c r="B145" s="226" t="s">
        <v>184</v>
      </c>
      <c r="C145" s="228" t="s">
        <v>105</v>
      </c>
      <c r="D145" s="125"/>
      <c r="E145" s="55" t="s">
        <v>106</v>
      </c>
      <c r="F145" s="127" t="s">
        <v>441</v>
      </c>
      <c r="G145" s="127" t="s">
        <v>442</v>
      </c>
      <c r="H145" s="126"/>
      <c r="I145" s="126"/>
      <c r="J145" s="126"/>
      <c r="K145" s="126"/>
      <c r="L145" s="126"/>
      <c r="M145" s="126"/>
      <c r="N145" s="126"/>
      <c r="O145" s="126"/>
      <c r="P145" s="126"/>
      <c r="Q145" s="126"/>
      <c r="R145" s="126"/>
      <c r="S145" s="126"/>
      <c r="T145" s="126"/>
      <c r="U145" s="126"/>
      <c r="V145" s="126"/>
      <c r="W145" s="126"/>
      <c r="X145" s="126"/>
      <c r="Y145" s="126"/>
      <c r="Z145" s="126"/>
      <c r="AA145" s="126"/>
      <c r="AB145" s="126"/>
      <c r="AC145" s="126"/>
      <c r="AD145" s="127" t="s">
        <v>443</v>
      </c>
      <c r="AE145" s="127" t="s">
        <v>444</v>
      </c>
      <c r="AF145" s="127" t="s">
        <v>107</v>
      </c>
      <c r="AG145" s="127" t="s">
        <v>108</v>
      </c>
      <c r="AH145" s="127" t="s">
        <v>109</v>
      </c>
      <c r="AI145" s="127" t="s">
        <v>110</v>
      </c>
      <c r="AJ145" s="54" t="s">
        <v>111</v>
      </c>
    </row>
    <row r="146" spans="2:36" ht="15" thickBot="1" x14ac:dyDescent="0.4">
      <c r="B146" s="227"/>
      <c r="C146" s="229"/>
      <c r="D146" s="128"/>
      <c r="E146" s="33">
        <v>0</v>
      </c>
      <c r="F146" s="130">
        <v>0</v>
      </c>
      <c r="G146" s="130">
        <v>0</v>
      </c>
      <c r="H146" s="129">
        <v>0</v>
      </c>
      <c r="I146" s="129">
        <v>0</v>
      </c>
      <c r="J146" s="129">
        <v>0</v>
      </c>
      <c r="K146" s="129">
        <v>0</v>
      </c>
      <c r="L146" s="129">
        <v>0</v>
      </c>
      <c r="M146" s="129">
        <v>0</v>
      </c>
      <c r="N146" s="129">
        <v>0</v>
      </c>
      <c r="O146" s="129">
        <v>0</v>
      </c>
      <c r="P146" s="129">
        <v>0</v>
      </c>
      <c r="Q146" s="129">
        <v>0</v>
      </c>
      <c r="R146" s="129">
        <v>0</v>
      </c>
      <c r="S146" s="129">
        <v>0</v>
      </c>
      <c r="T146" s="129">
        <v>0</v>
      </c>
      <c r="U146" s="129">
        <v>0</v>
      </c>
      <c r="V146" s="129">
        <v>0</v>
      </c>
      <c r="W146" s="129">
        <v>0</v>
      </c>
      <c r="X146" s="129">
        <v>0</v>
      </c>
      <c r="Y146" s="129">
        <v>0</v>
      </c>
      <c r="Z146" s="129">
        <v>0</v>
      </c>
      <c r="AA146" s="129">
        <v>0</v>
      </c>
      <c r="AB146" s="129">
        <v>0</v>
      </c>
      <c r="AC146" s="129">
        <v>0</v>
      </c>
      <c r="AD146" s="130">
        <v>0</v>
      </c>
      <c r="AE146" s="130">
        <v>0</v>
      </c>
      <c r="AF146" s="130">
        <v>0</v>
      </c>
      <c r="AG146" s="130">
        <v>0</v>
      </c>
      <c r="AH146" s="130">
        <v>0</v>
      </c>
      <c r="AI146" s="130">
        <v>0</v>
      </c>
      <c r="AJ146" s="30">
        <v>0</v>
      </c>
    </row>
    <row r="147" spans="2:36" ht="15" thickTop="1" x14ac:dyDescent="0.35">
      <c r="B147" s="230" t="s">
        <v>185</v>
      </c>
      <c r="C147" s="232" t="s">
        <v>68</v>
      </c>
      <c r="D147" s="121"/>
      <c r="E147" s="256" t="s">
        <v>69</v>
      </c>
      <c r="F147" s="257"/>
      <c r="G147" s="257"/>
      <c r="H147" s="257"/>
      <c r="I147" s="257"/>
      <c r="J147" s="257"/>
      <c r="K147" s="257"/>
      <c r="L147" s="257"/>
      <c r="M147" s="257"/>
      <c r="N147" s="257"/>
      <c r="O147" s="257"/>
      <c r="P147" s="257"/>
      <c r="Q147" s="257"/>
      <c r="R147" s="257"/>
      <c r="S147" s="257"/>
      <c r="T147" s="257"/>
      <c r="U147" s="257"/>
      <c r="V147" s="257"/>
      <c r="W147" s="257"/>
      <c r="X147" s="257"/>
      <c r="Y147" s="257"/>
      <c r="Z147" s="257"/>
      <c r="AA147" s="122" t="s">
        <v>70</v>
      </c>
      <c r="AB147" s="122" t="s">
        <v>71</v>
      </c>
      <c r="AC147" s="122" t="s">
        <v>72</v>
      </c>
      <c r="AD147" s="122" t="s">
        <v>73</v>
      </c>
      <c r="AE147" s="122" t="s">
        <v>74</v>
      </c>
      <c r="AF147" s="122" t="s">
        <v>75</v>
      </c>
      <c r="AG147" s="122" t="s">
        <v>76</v>
      </c>
      <c r="AH147" s="122" t="s">
        <v>77</v>
      </c>
      <c r="AI147" s="122" t="s">
        <v>78</v>
      </c>
      <c r="AJ147" s="53" t="s">
        <v>79</v>
      </c>
    </row>
    <row r="148" spans="2:36" ht="15" thickBot="1" x14ac:dyDescent="0.4">
      <c r="B148" s="231"/>
      <c r="C148" s="233"/>
      <c r="D148" s="123"/>
      <c r="E148" s="26">
        <v>0</v>
      </c>
      <c r="F148" s="124">
        <v>0</v>
      </c>
      <c r="G148" s="124">
        <v>0</v>
      </c>
      <c r="H148" s="124">
        <v>0</v>
      </c>
      <c r="I148" s="124">
        <v>0</v>
      </c>
      <c r="J148" s="124">
        <v>0</v>
      </c>
      <c r="K148" s="124">
        <v>0</v>
      </c>
      <c r="L148" s="124">
        <v>0</v>
      </c>
      <c r="M148" s="124">
        <v>0</v>
      </c>
      <c r="N148" s="124">
        <v>0</v>
      </c>
      <c r="O148" s="124">
        <v>0</v>
      </c>
      <c r="P148" s="124">
        <v>0</v>
      </c>
      <c r="Q148" s="124">
        <v>0</v>
      </c>
      <c r="R148" s="124">
        <v>0</v>
      </c>
      <c r="S148" s="124">
        <v>0</v>
      </c>
      <c r="T148" s="124">
        <v>0</v>
      </c>
      <c r="U148" s="124">
        <v>0</v>
      </c>
      <c r="V148" s="124">
        <v>0</v>
      </c>
      <c r="W148" s="124">
        <v>0</v>
      </c>
      <c r="X148" s="124">
        <v>0</v>
      </c>
      <c r="Y148" s="124">
        <v>0</v>
      </c>
      <c r="Z148" s="124">
        <v>0</v>
      </c>
      <c r="AA148" s="124">
        <v>0</v>
      </c>
      <c r="AB148" s="124">
        <v>0</v>
      </c>
      <c r="AC148" s="124">
        <v>0</v>
      </c>
      <c r="AD148" s="124">
        <v>0</v>
      </c>
      <c r="AE148" s="124">
        <v>0</v>
      </c>
      <c r="AF148" s="124">
        <v>0</v>
      </c>
      <c r="AG148" s="124">
        <v>0</v>
      </c>
      <c r="AH148" s="124">
        <v>0</v>
      </c>
      <c r="AI148" s="124">
        <v>1</v>
      </c>
      <c r="AJ148" s="27">
        <v>1</v>
      </c>
    </row>
    <row r="149" spans="2:36" ht="15" thickTop="1" x14ac:dyDescent="0.35">
      <c r="B149" s="226" t="s">
        <v>186</v>
      </c>
      <c r="C149" s="228" t="s">
        <v>112</v>
      </c>
      <c r="D149" s="125"/>
      <c r="E149" s="28"/>
      <c r="F149" s="126"/>
      <c r="G149" s="253" t="s">
        <v>113</v>
      </c>
      <c r="H149" s="253"/>
      <c r="I149" s="253"/>
      <c r="J149" s="253"/>
      <c r="K149" s="253"/>
      <c r="L149" s="253"/>
      <c r="M149" s="253"/>
      <c r="N149" s="253"/>
      <c r="O149" s="253"/>
      <c r="P149" s="253"/>
      <c r="Q149" s="253"/>
      <c r="R149" s="253"/>
      <c r="S149" s="253"/>
      <c r="T149" s="253"/>
      <c r="U149" s="253"/>
      <c r="V149" s="253"/>
      <c r="W149" s="253"/>
      <c r="X149" s="253"/>
      <c r="Y149" s="253"/>
      <c r="Z149" s="253"/>
      <c r="AA149" s="253"/>
      <c r="AB149" s="253"/>
      <c r="AC149" s="253"/>
      <c r="AD149" s="253"/>
      <c r="AE149" s="253"/>
      <c r="AF149" s="253"/>
      <c r="AG149" s="253"/>
      <c r="AH149" s="253"/>
      <c r="AI149" s="253"/>
      <c r="AJ149" s="254"/>
    </row>
    <row r="150" spans="2:36" ht="15" thickBot="1" x14ac:dyDescent="0.4">
      <c r="B150" s="227"/>
      <c r="C150" s="229"/>
      <c r="D150" s="128"/>
      <c r="E150" s="29">
        <v>0</v>
      </c>
      <c r="F150" s="129">
        <v>0</v>
      </c>
      <c r="G150" s="130">
        <v>0</v>
      </c>
      <c r="H150" s="130">
        <v>0</v>
      </c>
      <c r="I150" s="130">
        <v>0</v>
      </c>
      <c r="J150" s="130">
        <v>0</v>
      </c>
      <c r="K150" s="130">
        <v>0</v>
      </c>
      <c r="L150" s="130">
        <v>0</v>
      </c>
      <c r="M150" s="130">
        <v>0</v>
      </c>
      <c r="N150" s="130">
        <v>0</v>
      </c>
      <c r="O150" s="130">
        <v>0</v>
      </c>
      <c r="P150" s="130">
        <v>0</v>
      </c>
      <c r="Q150" s="130">
        <v>0</v>
      </c>
      <c r="R150" s="130">
        <v>1</v>
      </c>
      <c r="S150" s="130">
        <v>0</v>
      </c>
      <c r="T150" s="130">
        <v>0</v>
      </c>
      <c r="U150" s="130">
        <v>1</v>
      </c>
      <c r="V150" s="130">
        <v>1</v>
      </c>
      <c r="W150" s="130">
        <v>0</v>
      </c>
      <c r="X150" s="130">
        <v>0</v>
      </c>
      <c r="Y150" s="130">
        <v>0</v>
      </c>
      <c r="Z150" s="130">
        <v>1</v>
      </c>
      <c r="AA150" s="130">
        <v>0</v>
      </c>
      <c r="AB150" s="130">
        <v>0</v>
      </c>
      <c r="AC150" s="130">
        <v>1</v>
      </c>
      <c r="AD150" s="130">
        <v>0</v>
      </c>
      <c r="AE150" s="130">
        <v>1</v>
      </c>
      <c r="AF150" s="130">
        <v>1</v>
      </c>
      <c r="AG150" s="130">
        <v>0</v>
      </c>
      <c r="AH150" s="130">
        <v>1</v>
      </c>
      <c r="AI150" s="130">
        <v>0</v>
      </c>
      <c r="AJ150" s="30">
        <v>1</v>
      </c>
    </row>
    <row r="151" spans="2:36" ht="15" thickTop="1" x14ac:dyDescent="0.35">
      <c r="B151" s="216" t="s">
        <v>187</v>
      </c>
      <c r="C151" s="218" t="s">
        <v>47</v>
      </c>
      <c r="D151" s="105"/>
      <c r="E151" s="13"/>
      <c r="F151" s="63"/>
      <c r="G151" s="63"/>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c r="AE151" s="63"/>
      <c r="AF151" s="63"/>
      <c r="AG151" s="63"/>
      <c r="AH151" s="63"/>
      <c r="AI151" s="63"/>
      <c r="AJ151" s="5"/>
    </row>
    <row r="152" spans="2:36" ht="15" thickBot="1" x14ac:dyDescent="0.4">
      <c r="B152" s="220"/>
      <c r="C152" s="221"/>
      <c r="D152" s="106"/>
      <c r="E152" s="19">
        <v>0</v>
      </c>
      <c r="F152" s="68">
        <v>0</v>
      </c>
      <c r="G152" s="68">
        <v>0</v>
      </c>
      <c r="H152" s="68">
        <v>0</v>
      </c>
      <c r="I152" s="68">
        <v>0</v>
      </c>
      <c r="J152" s="68">
        <v>0</v>
      </c>
      <c r="K152" s="68">
        <v>0</v>
      </c>
      <c r="L152" s="68">
        <v>0</v>
      </c>
      <c r="M152" s="68">
        <v>0</v>
      </c>
      <c r="N152" s="68">
        <v>0</v>
      </c>
      <c r="O152" s="68">
        <v>0</v>
      </c>
      <c r="P152" s="68">
        <v>0</v>
      </c>
      <c r="Q152" s="68">
        <v>0</v>
      </c>
      <c r="R152" s="68">
        <v>0</v>
      </c>
      <c r="S152" s="68">
        <v>0</v>
      </c>
      <c r="T152" s="68">
        <v>0</v>
      </c>
      <c r="U152" s="68">
        <v>0</v>
      </c>
      <c r="V152" s="68">
        <v>0</v>
      </c>
      <c r="W152" s="68">
        <v>0</v>
      </c>
      <c r="X152" s="68">
        <v>0</v>
      </c>
      <c r="Y152" s="68">
        <v>0</v>
      </c>
      <c r="Z152" s="68">
        <v>0</v>
      </c>
      <c r="AA152" s="68">
        <v>0</v>
      </c>
      <c r="AB152" s="68">
        <v>0</v>
      </c>
      <c r="AC152" s="68">
        <v>0</v>
      </c>
      <c r="AD152" s="68">
        <v>0</v>
      </c>
      <c r="AE152" s="68">
        <v>0</v>
      </c>
      <c r="AF152" s="68">
        <v>0</v>
      </c>
      <c r="AG152" s="68">
        <v>0</v>
      </c>
      <c r="AH152" s="68">
        <v>0</v>
      </c>
      <c r="AI152" s="68">
        <v>0</v>
      </c>
      <c r="AJ152" s="12">
        <v>0</v>
      </c>
    </row>
    <row r="153" spans="2:36" ht="15" thickTop="1" x14ac:dyDescent="0.35">
      <c r="B153" s="216" t="s">
        <v>188</v>
      </c>
      <c r="C153" s="218" t="s">
        <v>47</v>
      </c>
      <c r="D153" s="105"/>
      <c r="E153" s="13"/>
      <c r="F153" s="63"/>
      <c r="G153" s="63"/>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c r="AE153" s="63"/>
      <c r="AF153" s="63"/>
      <c r="AG153" s="63"/>
      <c r="AH153" s="63"/>
      <c r="AI153" s="63"/>
      <c r="AJ153" s="5"/>
    </row>
    <row r="154" spans="2:36" ht="15" thickBot="1" x14ac:dyDescent="0.4">
      <c r="B154" s="220"/>
      <c r="C154" s="221"/>
      <c r="D154" s="106"/>
      <c r="E154" s="19">
        <v>0</v>
      </c>
      <c r="F154" s="68">
        <v>0</v>
      </c>
      <c r="G154" s="68">
        <v>0</v>
      </c>
      <c r="H154" s="68">
        <v>0</v>
      </c>
      <c r="I154" s="68">
        <v>0</v>
      </c>
      <c r="J154" s="68">
        <v>0</v>
      </c>
      <c r="K154" s="68">
        <v>0</v>
      </c>
      <c r="L154" s="68">
        <v>0</v>
      </c>
      <c r="M154" s="68">
        <v>0</v>
      </c>
      <c r="N154" s="68">
        <v>0</v>
      </c>
      <c r="O154" s="68">
        <v>0</v>
      </c>
      <c r="P154" s="68">
        <v>0</v>
      </c>
      <c r="Q154" s="68">
        <v>0</v>
      </c>
      <c r="R154" s="68">
        <v>0</v>
      </c>
      <c r="S154" s="68">
        <v>0</v>
      </c>
      <c r="T154" s="68">
        <v>0</v>
      </c>
      <c r="U154" s="68">
        <v>0</v>
      </c>
      <c r="V154" s="68">
        <v>0</v>
      </c>
      <c r="W154" s="68">
        <v>0</v>
      </c>
      <c r="X154" s="68">
        <v>0</v>
      </c>
      <c r="Y154" s="68">
        <v>0</v>
      </c>
      <c r="Z154" s="68">
        <v>0</v>
      </c>
      <c r="AA154" s="68">
        <v>0</v>
      </c>
      <c r="AB154" s="68">
        <v>0</v>
      </c>
      <c r="AC154" s="68">
        <v>0</v>
      </c>
      <c r="AD154" s="68">
        <v>0</v>
      </c>
      <c r="AE154" s="68">
        <v>0</v>
      </c>
      <c r="AF154" s="68">
        <v>0</v>
      </c>
      <c r="AG154" s="68">
        <v>0</v>
      </c>
      <c r="AH154" s="68">
        <v>0</v>
      </c>
      <c r="AI154" s="68">
        <v>0</v>
      </c>
      <c r="AJ154" s="12">
        <v>0</v>
      </c>
    </row>
    <row r="155" spans="2:36" ht="15" thickTop="1" x14ac:dyDescent="0.35">
      <c r="B155" s="216" t="s">
        <v>189</v>
      </c>
      <c r="C155" s="218" t="s">
        <v>47</v>
      </c>
      <c r="D155" s="105"/>
      <c r="E155" s="13"/>
      <c r="F155" s="63"/>
      <c r="G155" s="63"/>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c r="AE155" s="63"/>
      <c r="AF155" s="63"/>
      <c r="AG155" s="63"/>
      <c r="AH155" s="63"/>
      <c r="AI155" s="63"/>
      <c r="AJ155" s="5"/>
    </row>
    <row r="156" spans="2:36" ht="15" thickBot="1" x14ac:dyDescent="0.4">
      <c r="B156" s="220"/>
      <c r="C156" s="221"/>
      <c r="D156" s="106"/>
      <c r="E156" s="19">
        <v>0</v>
      </c>
      <c r="F156" s="68">
        <v>0</v>
      </c>
      <c r="G156" s="68">
        <v>0</v>
      </c>
      <c r="H156" s="68">
        <v>0</v>
      </c>
      <c r="I156" s="68">
        <v>0</v>
      </c>
      <c r="J156" s="68">
        <v>0</v>
      </c>
      <c r="K156" s="68">
        <v>0</v>
      </c>
      <c r="L156" s="68">
        <v>0</v>
      </c>
      <c r="M156" s="68">
        <v>0</v>
      </c>
      <c r="N156" s="68">
        <v>0</v>
      </c>
      <c r="O156" s="68">
        <v>0</v>
      </c>
      <c r="P156" s="68">
        <v>0</v>
      </c>
      <c r="Q156" s="68">
        <v>0</v>
      </c>
      <c r="R156" s="68">
        <v>0</v>
      </c>
      <c r="S156" s="68">
        <v>0</v>
      </c>
      <c r="T156" s="68">
        <v>0</v>
      </c>
      <c r="U156" s="68">
        <v>0</v>
      </c>
      <c r="V156" s="68">
        <v>0</v>
      </c>
      <c r="W156" s="68">
        <v>0</v>
      </c>
      <c r="X156" s="68">
        <v>0</v>
      </c>
      <c r="Y156" s="68">
        <v>0</v>
      </c>
      <c r="Z156" s="68">
        <v>0</v>
      </c>
      <c r="AA156" s="68">
        <v>0</v>
      </c>
      <c r="AB156" s="68">
        <v>0</v>
      </c>
      <c r="AC156" s="68">
        <v>0</v>
      </c>
      <c r="AD156" s="68">
        <v>0</v>
      </c>
      <c r="AE156" s="68">
        <v>0</v>
      </c>
      <c r="AF156" s="68">
        <v>0</v>
      </c>
      <c r="AG156" s="68">
        <v>0</v>
      </c>
      <c r="AH156" s="68">
        <v>0</v>
      </c>
      <c r="AI156" s="68">
        <v>0</v>
      </c>
      <c r="AJ156" s="12">
        <v>0</v>
      </c>
    </row>
    <row r="157" spans="2:36" ht="15" thickTop="1" x14ac:dyDescent="0.35">
      <c r="B157" s="216" t="s">
        <v>190</v>
      </c>
      <c r="C157" s="218" t="s">
        <v>47</v>
      </c>
      <c r="D157" s="105"/>
      <c r="E157" s="13"/>
      <c r="F157" s="63"/>
      <c r="G157" s="63"/>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c r="AE157" s="63"/>
      <c r="AF157" s="63"/>
      <c r="AG157" s="63"/>
      <c r="AH157" s="63"/>
      <c r="AI157" s="63"/>
      <c r="AJ157" s="5"/>
    </row>
    <row r="158" spans="2:36" ht="15" thickBot="1" x14ac:dyDescent="0.4">
      <c r="B158" s="220"/>
      <c r="C158" s="221"/>
      <c r="D158" s="106"/>
      <c r="E158" s="19">
        <v>0</v>
      </c>
      <c r="F158" s="68">
        <v>0</v>
      </c>
      <c r="G158" s="68">
        <v>0</v>
      </c>
      <c r="H158" s="68">
        <v>0</v>
      </c>
      <c r="I158" s="68">
        <v>0</v>
      </c>
      <c r="J158" s="68">
        <v>0</v>
      </c>
      <c r="K158" s="68">
        <v>0</v>
      </c>
      <c r="L158" s="68">
        <v>0</v>
      </c>
      <c r="M158" s="68">
        <v>0</v>
      </c>
      <c r="N158" s="68">
        <v>0</v>
      </c>
      <c r="O158" s="68">
        <v>0</v>
      </c>
      <c r="P158" s="68">
        <v>0</v>
      </c>
      <c r="Q158" s="68">
        <v>0</v>
      </c>
      <c r="R158" s="68">
        <v>0</v>
      </c>
      <c r="S158" s="68">
        <v>0</v>
      </c>
      <c r="T158" s="68">
        <v>0</v>
      </c>
      <c r="U158" s="68">
        <v>0</v>
      </c>
      <c r="V158" s="68">
        <v>0</v>
      </c>
      <c r="W158" s="68">
        <v>0</v>
      </c>
      <c r="X158" s="68">
        <v>0</v>
      </c>
      <c r="Y158" s="68">
        <v>0</v>
      </c>
      <c r="Z158" s="68">
        <v>0</v>
      </c>
      <c r="AA158" s="68">
        <v>0</v>
      </c>
      <c r="AB158" s="68">
        <v>0</v>
      </c>
      <c r="AC158" s="68">
        <v>0</v>
      </c>
      <c r="AD158" s="68">
        <v>0</v>
      </c>
      <c r="AE158" s="68">
        <v>0</v>
      </c>
      <c r="AF158" s="68">
        <v>0</v>
      </c>
      <c r="AG158" s="68">
        <v>0</v>
      </c>
      <c r="AH158" s="68">
        <v>0</v>
      </c>
      <c r="AI158" s="68">
        <v>0</v>
      </c>
      <c r="AJ158" s="12">
        <v>0</v>
      </c>
    </row>
    <row r="159" spans="2:36" ht="15" thickTop="1" x14ac:dyDescent="0.35">
      <c r="B159" s="216" t="s">
        <v>191</v>
      </c>
      <c r="C159" s="218" t="s">
        <v>47</v>
      </c>
      <c r="D159" s="105"/>
      <c r="E159" s="13"/>
      <c r="F159" s="63"/>
      <c r="G159" s="63"/>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c r="AE159" s="63"/>
      <c r="AF159" s="63"/>
      <c r="AG159" s="63"/>
      <c r="AH159" s="63"/>
      <c r="AI159" s="63"/>
      <c r="AJ159" s="5"/>
    </row>
    <row r="160" spans="2:36" ht="15" thickBot="1" x14ac:dyDescent="0.4">
      <c r="B160" s="220"/>
      <c r="C160" s="221"/>
      <c r="D160" s="106"/>
      <c r="E160" s="19">
        <v>0</v>
      </c>
      <c r="F160" s="68">
        <v>0</v>
      </c>
      <c r="G160" s="68">
        <v>0</v>
      </c>
      <c r="H160" s="68">
        <v>0</v>
      </c>
      <c r="I160" s="68">
        <v>0</v>
      </c>
      <c r="J160" s="68">
        <v>0</v>
      </c>
      <c r="K160" s="68">
        <v>0</v>
      </c>
      <c r="L160" s="68">
        <v>0</v>
      </c>
      <c r="M160" s="68">
        <v>0</v>
      </c>
      <c r="N160" s="68">
        <v>0</v>
      </c>
      <c r="O160" s="68">
        <v>0</v>
      </c>
      <c r="P160" s="68">
        <v>0</v>
      </c>
      <c r="Q160" s="68">
        <v>0</v>
      </c>
      <c r="R160" s="68">
        <v>0</v>
      </c>
      <c r="S160" s="68">
        <v>0</v>
      </c>
      <c r="T160" s="68">
        <v>0</v>
      </c>
      <c r="U160" s="68">
        <v>0</v>
      </c>
      <c r="V160" s="68">
        <v>0</v>
      </c>
      <c r="W160" s="68">
        <v>0</v>
      </c>
      <c r="X160" s="68">
        <v>0</v>
      </c>
      <c r="Y160" s="68">
        <v>0</v>
      </c>
      <c r="Z160" s="68">
        <v>0</v>
      </c>
      <c r="AA160" s="68">
        <v>0</v>
      </c>
      <c r="AB160" s="68">
        <v>0</v>
      </c>
      <c r="AC160" s="68">
        <v>0</v>
      </c>
      <c r="AD160" s="68">
        <v>0</v>
      </c>
      <c r="AE160" s="68">
        <v>0</v>
      </c>
      <c r="AF160" s="68">
        <v>0</v>
      </c>
      <c r="AG160" s="68">
        <v>0</v>
      </c>
      <c r="AH160" s="68">
        <v>0</v>
      </c>
      <c r="AI160" s="68">
        <v>0</v>
      </c>
      <c r="AJ160" s="12">
        <v>0</v>
      </c>
    </row>
    <row r="161" spans="2:36" ht="15" thickTop="1" x14ac:dyDescent="0.35">
      <c r="B161" s="216" t="s">
        <v>192</v>
      </c>
      <c r="C161" s="218" t="s">
        <v>47</v>
      </c>
      <c r="D161" s="105"/>
      <c r="E161" s="13"/>
      <c r="F161" s="63"/>
      <c r="G161" s="63"/>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c r="AE161" s="63"/>
      <c r="AF161" s="63"/>
      <c r="AG161" s="63"/>
      <c r="AH161" s="63"/>
      <c r="AI161" s="63"/>
      <c r="AJ161" s="5"/>
    </row>
    <row r="162" spans="2:36" ht="15" thickBot="1" x14ac:dyDescent="0.4">
      <c r="B162" s="220"/>
      <c r="C162" s="221"/>
      <c r="D162" s="106"/>
      <c r="E162" s="19">
        <v>0</v>
      </c>
      <c r="F162" s="68">
        <v>0</v>
      </c>
      <c r="G162" s="68">
        <v>0</v>
      </c>
      <c r="H162" s="68">
        <v>0</v>
      </c>
      <c r="I162" s="68">
        <v>0</v>
      </c>
      <c r="J162" s="68">
        <v>0</v>
      </c>
      <c r="K162" s="68">
        <v>0</v>
      </c>
      <c r="L162" s="68">
        <v>0</v>
      </c>
      <c r="M162" s="68">
        <v>0</v>
      </c>
      <c r="N162" s="68">
        <v>0</v>
      </c>
      <c r="O162" s="68">
        <v>0</v>
      </c>
      <c r="P162" s="68">
        <v>0</v>
      </c>
      <c r="Q162" s="68">
        <v>0</v>
      </c>
      <c r="R162" s="68">
        <v>0</v>
      </c>
      <c r="S162" s="68">
        <v>0</v>
      </c>
      <c r="T162" s="68">
        <v>0</v>
      </c>
      <c r="U162" s="68">
        <v>0</v>
      </c>
      <c r="V162" s="68">
        <v>0</v>
      </c>
      <c r="W162" s="68">
        <v>0</v>
      </c>
      <c r="X162" s="68">
        <v>0</v>
      </c>
      <c r="Y162" s="68">
        <v>0</v>
      </c>
      <c r="Z162" s="68">
        <v>0</v>
      </c>
      <c r="AA162" s="68">
        <v>0</v>
      </c>
      <c r="AB162" s="68">
        <v>0</v>
      </c>
      <c r="AC162" s="68">
        <v>0</v>
      </c>
      <c r="AD162" s="68">
        <v>0</v>
      </c>
      <c r="AE162" s="68">
        <v>0</v>
      </c>
      <c r="AF162" s="68">
        <v>0</v>
      </c>
      <c r="AG162" s="68">
        <v>0</v>
      </c>
      <c r="AH162" s="68">
        <v>0</v>
      </c>
      <c r="AI162" s="68">
        <v>0</v>
      </c>
      <c r="AJ162" s="12">
        <v>0</v>
      </c>
    </row>
    <row r="163" spans="2:36" ht="15" thickTop="1" x14ac:dyDescent="0.35">
      <c r="B163" s="216" t="s">
        <v>193</v>
      </c>
      <c r="C163" s="218" t="s">
        <v>47</v>
      </c>
      <c r="D163" s="105"/>
      <c r="E163" s="13"/>
      <c r="F163" s="63"/>
      <c r="G163" s="63"/>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c r="AE163" s="63"/>
      <c r="AF163" s="63"/>
      <c r="AG163" s="63"/>
      <c r="AH163" s="63"/>
      <c r="AI163" s="63"/>
      <c r="AJ163" s="5"/>
    </row>
    <row r="164" spans="2:36" ht="15" thickBot="1" x14ac:dyDescent="0.4">
      <c r="B164" s="220"/>
      <c r="C164" s="221"/>
      <c r="D164" s="106"/>
      <c r="E164" s="19">
        <v>0</v>
      </c>
      <c r="F164" s="68">
        <v>0</v>
      </c>
      <c r="G164" s="68">
        <v>0</v>
      </c>
      <c r="H164" s="68">
        <v>0</v>
      </c>
      <c r="I164" s="68">
        <v>0</v>
      </c>
      <c r="J164" s="68">
        <v>0</v>
      </c>
      <c r="K164" s="68">
        <v>0</v>
      </c>
      <c r="L164" s="68">
        <v>0</v>
      </c>
      <c r="M164" s="68">
        <v>0</v>
      </c>
      <c r="N164" s="68">
        <v>0</v>
      </c>
      <c r="O164" s="68">
        <v>0</v>
      </c>
      <c r="P164" s="68">
        <v>0</v>
      </c>
      <c r="Q164" s="68">
        <v>0</v>
      </c>
      <c r="R164" s="68">
        <v>0</v>
      </c>
      <c r="S164" s="68">
        <v>0</v>
      </c>
      <c r="T164" s="68">
        <v>0</v>
      </c>
      <c r="U164" s="68">
        <v>0</v>
      </c>
      <c r="V164" s="68">
        <v>0</v>
      </c>
      <c r="W164" s="68">
        <v>0</v>
      </c>
      <c r="X164" s="68">
        <v>0</v>
      </c>
      <c r="Y164" s="68">
        <v>0</v>
      </c>
      <c r="Z164" s="68">
        <v>0</v>
      </c>
      <c r="AA164" s="68">
        <v>0</v>
      </c>
      <c r="AB164" s="68">
        <v>0</v>
      </c>
      <c r="AC164" s="68">
        <v>0</v>
      </c>
      <c r="AD164" s="68">
        <v>0</v>
      </c>
      <c r="AE164" s="68">
        <v>0</v>
      </c>
      <c r="AF164" s="68">
        <v>0</v>
      </c>
      <c r="AG164" s="68">
        <v>0</v>
      </c>
      <c r="AH164" s="68">
        <v>0</v>
      </c>
      <c r="AI164" s="68">
        <v>0</v>
      </c>
      <c r="AJ164" s="12">
        <v>0</v>
      </c>
    </row>
    <row r="165" spans="2:36" ht="15" thickTop="1" x14ac:dyDescent="0.35">
      <c r="B165" s="216" t="s">
        <v>194</v>
      </c>
      <c r="C165" s="218" t="s">
        <v>47</v>
      </c>
      <c r="D165" s="105"/>
      <c r="E165" s="13"/>
      <c r="F165" s="63"/>
      <c r="G165" s="63"/>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c r="AE165" s="63"/>
      <c r="AF165" s="63"/>
      <c r="AG165" s="63"/>
      <c r="AH165" s="63"/>
      <c r="AI165" s="63"/>
      <c r="AJ165" s="5"/>
    </row>
    <row r="166" spans="2:36" ht="15" thickBot="1" x14ac:dyDescent="0.4">
      <c r="B166" s="220"/>
      <c r="C166" s="221"/>
      <c r="D166" s="106"/>
      <c r="E166" s="19">
        <v>0</v>
      </c>
      <c r="F166" s="68">
        <v>0</v>
      </c>
      <c r="G166" s="68">
        <v>0</v>
      </c>
      <c r="H166" s="68">
        <v>0</v>
      </c>
      <c r="I166" s="68">
        <v>0</v>
      </c>
      <c r="J166" s="68">
        <v>0</v>
      </c>
      <c r="K166" s="68">
        <v>0</v>
      </c>
      <c r="L166" s="68">
        <v>0</v>
      </c>
      <c r="M166" s="68">
        <v>0</v>
      </c>
      <c r="N166" s="68">
        <v>0</v>
      </c>
      <c r="O166" s="68">
        <v>0</v>
      </c>
      <c r="P166" s="68">
        <v>0</v>
      </c>
      <c r="Q166" s="68">
        <v>0</v>
      </c>
      <c r="R166" s="68">
        <v>0</v>
      </c>
      <c r="S166" s="68">
        <v>0</v>
      </c>
      <c r="T166" s="68">
        <v>0</v>
      </c>
      <c r="U166" s="68">
        <v>0</v>
      </c>
      <c r="V166" s="68">
        <v>0</v>
      </c>
      <c r="W166" s="68">
        <v>0</v>
      </c>
      <c r="X166" s="68">
        <v>0</v>
      </c>
      <c r="Y166" s="68">
        <v>0</v>
      </c>
      <c r="Z166" s="68">
        <v>0</v>
      </c>
      <c r="AA166" s="68">
        <v>0</v>
      </c>
      <c r="AB166" s="68">
        <v>0</v>
      </c>
      <c r="AC166" s="68">
        <v>0</v>
      </c>
      <c r="AD166" s="68">
        <v>0</v>
      </c>
      <c r="AE166" s="68">
        <v>0</v>
      </c>
      <c r="AF166" s="68">
        <v>0</v>
      </c>
      <c r="AG166" s="68">
        <v>0</v>
      </c>
      <c r="AH166" s="68">
        <v>0</v>
      </c>
      <c r="AI166" s="68">
        <v>0</v>
      </c>
      <c r="AJ166" s="12">
        <v>0</v>
      </c>
    </row>
    <row r="167" spans="2:36" ht="15" thickTop="1" x14ac:dyDescent="0.35">
      <c r="B167" s="226" t="s">
        <v>195</v>
      </c>
      <c r="C167" s="228" t="s">
        <v>445</v>
      </c>
      <c r="D167" s="125"/>
      <c r="E167" s="28"/>
      <c r="F167" s="126"/>
      <c r="G167" s="126"/>
      <c r="H167" s="126"/>
      <c r="I167" s="126"/>
      <c r="J167" s="126"/>
      <c r="K167" s="126"/>
      <c r="L167" s="126"/>
      <c r="M167" s="126"/>
      <c r="N167" s="126"/>
      <c r="O167" s="126"/>
      <c r="P167" s="126"/>
      <c r="Q167" s="126"/>
      <c r="R167" s="126"/>
      <c r="S167" s="126"/>
      <c r="T167" s="126"/>
      <c r="U167" s="126"/>
      <c r="V167" s="126"/>
      <c r="W167" s="126"/>
      <c r="X167" s="126"/>
      <c r="Y167" s="126"/>
      <c r="Z167" s="253" t="s">
        <v>446</v>
      </c>
      <c r="AA167" s="253"/>
      <c r="AB167" s="253"/>
      <c r="AC167" s="253"/>
      <c r="AD167" s="127" t="s">
        <v>447</v>
      </c>
      <c r="AE167" s="127" t="s">
        <v>448</v>
      </c>
      <c r="AF167" s="127" t="s">
        <v>449</v>
      </c>
      <c r="AG167" s="127" t="s">
        <v>450</v>
      </c>
      <c r="AH167" s="127" t="s">
        <v>451</v>
      </c>
      <c r="AI167" s="127" t="s">
        <v>452</v>
      </c>
      <c r="AJ167" s="54" t="s">
        <v>453</v>
      </c>
    </row>
    <row r="168" spans="2:36" ht="15" thickBot="1" x14ac:dyDescent="0.4">
      <c r="B168" s="227"/>
      <c r="C168" s="229"/>
      <c r="D168" s="128"/>
      <c r="E168" s="29">
        <v>0</v>
      </c>
      <c r="F168" s="129">
        <v>0</v>
      </c>
      <c r="G168" s="129">
        <v>0</v>
      </c>
      <c r="H168" s="129">
        <v>0</v>
      </c>
      <c r="I168" s="129">
        <v>0</v>
      </c>
      <c r="J168" s="129">
        <v>0</v>
      </c>
      <c r="K168" s="129">
        <v>0</v>
      </c>
      <c r="L168" s="129">
        <v>0</v>
      </c>
      <c r="M168" s="129">
        <v>0</v>
      </c>
      <c r="N168" s="129">
        <v>0</v>
      </c>
      <c r="O168" s="129">
        <v>0</v>
      </c>
      <c r="P168" s="129">
        <v>0</v>
      </c>
      <c r="Q168" s="129">
        <v>0</v>
      </c>
      <c r="R168" s="129">
        <v>0</v>
      </c>
      <c r="S168" s="129">
        <v>0</v>
      </c>
      <c r="T168" s="129">
        <v>0</v>
      </c>
      <c r="U168" s="129">
        <v>0</v>
      </c>
      <c r="V168" s="129">
        <v>0</v>
      </c>
      <c r="W168" s="129">
        <v>0</v>
      </c>
      <c r="X168" s="129">
        <v>0</v>
      </c>
      <c r="Y168" s="129">
        <v>0</v>
      </c>
      <c r="Z168" s="130">
        <v>0</v>
      </c>
      <c r="AA168" s="130">
        <v>0</v>
      </c>
      <c r="AB168" s="130">
        <v>0</v>
      </c>
      <c r="AC168" s="130">
        <v>0</v>
      </c>
      <c r="AD168" s="130">
        <v>0</v>
      </c>
      <c r="AE168" s="130">
        <v>1</v>
      </c>
      <c r="AF168" s="130">
        <v>0</v>
      </c>
      <c r="AG168" s="130">
        <v>0</v>
      </c>
      <c r="AH168" s="130">
        <v>0</v>
      </c>
      <c r="AI168" s="130">
        <v>0</v>
      </c>
      <c r="AJ168" s="30">
        <v>1</v>
      </c>
    </row>
    <row r="169" spans="2:36" ht="15" thickTop="1" x14ac:dyDescent="0.35">
      <c r="B169" s="226" t="s">
        <v>196</v>
      </c>
      <c r="C169" s="228" t="s">
        <v>454</v>
      </c>
      <c r="D169" s="125"/>
      <c r="E169" s="28"/>
      <c r="F169" s="126"/>
      <c r="G169" s="126"/>
      <c r="H169" s="126"/>
      <c r="I169" s="126"/>
      <c r="J169" s="126"/>
      <c r="K169" s="126"/>
      <c r="L169" s="126"/>
      <c r="M169" s="126"/>
      <c r="N169" s="126"/>
      <c r="O169" s="126"/>
      <c r="P169" s="126"/>
      <c r="Q169" s="126"/>
      <c r="R169" s="126"/>
      <c r="S169" s="126"/>
      <c r="T169" s="126"/>
      <c r="U169" s="126"/>
      <c r="V169" s="126"/>
      <c r="W169" s="253" t="s">
        <v>455</v>
      </c>
      <c r="X169" s="253"/>
      <c r="Y169" s="253"/>
      <c r="Z169" s="253"/>
      <c r="AA169" s="253"/>
      <c r="AB169" s="253"/>
      <c r="AC169" s="253"/>
      <c r="AD169" s="127" t="s">
        <v>456</v>
      </c>
      <c r="AE169" s="127" t="s">
        <v>457</v>
      </c>
      <c r="AF169" s="127" t="s">
        <v>458</v>
      </c>
      <c r="AG169" s="127" t="s">
        <v>459</v>
      </c>
      <c r="AH169" s="127" t="s">
        <v>460</v>
      </c>
      <c r="AI169" s="127" t="s">
        <v>461</v>
      </c>
      <c r="AJ169" s="54" t="s">
        <v>462</v>
      </c>
    </row>
    <row r="170" spans="2:36" ht="15" thickBot="1" x14ac:dyDescent="0.4">
      <c r="B170" s="227"/>
      <c r="C170" s="229"/>
      <c r="D170" s="128"/>
      <c r="E170" s="29">
        <v>0</v>
      </c>
      <c r="F170" s="129">
        <v>0</v>
      </c>
      <c r="G170" s="129">
        <v>0</v>
      </c>
      <c r="H170" s="129">
        <v>0</v>
      </c>
      <c r="I170" s="129">
        <v>0</v>
      </c>
      <c r="J170" s="129">
        <v>0</v>
      </c>
      <c r="K170" s="129">
        <v>0</v>
      </c>
      <c r="L170" s="129">
        <v>0</v>
      </c>
      <c r="M170" s="129">
        <v>0</v>
      </c>
      <c r="N170" s="129">
        <v>0</v>
      </c>
      <c r="O170" s="129">
        <v>0</v>
      </c>
      <c r="P170" s="129">
        <v>0</v>
      </c>
      <c r="Q170" s="129">
        <v>0</v>
      </c>
      <c r="R170" s="129">
        <v>0</v>
      </c>
      <c r="S170" s="129">
        <v>0</v>
      </c>
      <c r="T170" s="129">
        <v>0</v>
      </c>
      <c r="U170" s="129">
        <v>0</v>
      </c>
      <c r="V170" s="129">
        <v>0</v>
      </c>
      <c r="W170" s="130">
        <v>0</v>
      </c>
      <c r="X170" s="130">
        <v>0</v>
      </c>
      <c r="Y170" s="130">
        <v>0</v>
      </c>
      <c r="Z170" s="130">
        <v>0</v>
      </c>
      <c r="AA170" s="130">
        <v>0</v>
      </c>
      <c r="AB170" s="130">
        <v>0</v>
      </c>
      <c r="AC170" s="130">
        <v>0</v>
      </c>
      <c r="AD170" s="130">
        <v>0</v>
      </c>
      <c r="AE170" s="130">
        <v>0</v>
      </c>
      <c r="AF170" s="130">
        <v>0</v>
      </c>
      <c r="AG170" s="130">
        <v>0</v>
      </c>
      <c r="AH170" s="130">
        <v>0</v>
      </c>
      <c r="AI170" s="130">
        <v>0</v>
      </c>
      <c r="AJ170" s="30">
        <v>0</v>
      </c>
    </row>
    <row r="171" spans="2:36" ht="15" thickTop="1" x14ac:dyDescent="0.35">
      <c r="B171" s="226" t="s">
        <v>197</v>
      </c>
      <c r="C171" s="228" t="s">
        <v>463</v>
      </c>
      <c r="D171" s="125"/>
      <c r="E171" s="28"/>
      <c r="F171" s="126"/>
      <c r="G171" s="126"/>
      <c r="H171" s="126"/>
      <c r="I171" s="126"/>
      <c r="J171" s="126"/>
      <c r="K171" s="126"/>
      <c r="L171" s="126"/>
      <c r="M171" s="126"/>
      <c r="N171" s="126"/>
      <c r="O171" s="126"/>
      <c r="P171" s="126"/>
      <c r="Q171" s="126"/>
      <c r="R171" s="126"/>
      <c r="S171" s="126"/>
      <c r="T171" s="126"/>
      <c r="U171" s="126"/>
      <c r="V171" s="126"/>
      <c r="W171" s="126"/>
      <c r="X171" s="126"/>
      <c r="Y171" s="126"/>
      <c r="Z171" s="126"/>
      <c r="AA171" s="126"/>
      <c r="AB171" s="253" t="s">
        <v>464</v>
      </c>
      <c r="AC171" s="253"/>
      <c r="AD171" s="253"/>
      <c r="AE171" s="253"/>
      <c r="AF171" s="126"/>
      <c r="AG171" s="253" t="s">
        <v>465</v>
      </c>
      <c r="AH171" s="253"/>
      <c r="AI171" s="253"/>
      <c r="AJ171" s="254"/>
    </row>
    <row r="172" spans="2:36" ht="15" thickBot="1" x14ac:dyDescent="0.4">
      <c r="B172" s="227"/>
      <c r="C172" s="229"/>
      <c r="D172" s="128"/>
      <c r="E172" s="29">
        <v>0</v>
      </c>
      <c r="F172" s="129">
        <v>0</v>
      </c>
      <c r="G172" s="129">
        <v>0</v>
      </c>
      <c r="H172" s="129">
        <v>0</v>
      </c>
      <c r="I172" s="129">
        <v>0</v>
      </c>
      <c r="J172" s="129">
        <v>0</v>
      </c>
      <c r="K172" s="129">
        <v>0</v>
      </c>
      <c r="L172" s="129">
        <v>0</v>
      </c>
      <c r="M172" s="129">
        <v>0</v>
      </c>
      <c r="N172" s="129">
        <v>0</v>
      </c>
      <c r="O172" s="129">
        <v>0</v>
      </c>
      <c r="P172" s="129">
        <v>0</v>
      </c>
      <c r="Q172" s="129">
        <v>0</v>
      </c>
      <c r="R172" s="129">
        <v>0</v>
      </c>
      <c r="S172" s="129">
        <v>0</v>
      </c>
      <c r="T172" s="129">
        <v>0</v>
      </c>
      <c r="U172" s="129">
        <v>0</v>
      </c>
      <c r="V172" s="129">
        <v>0</v>
      </c>
      <c r="W172" s="129">
        <v>0</v>
      </c>
      <c r="X172" s="129">
        <v>0</v>
      </c>
      <c r="Y172" s="129">
        <v>0</v>
      </c>
      <c r="Z172" s="129">
        <v>0</v>
      </c>
      <c r="AA172" s="129">
        <v>0</v>
      </c>
      <c r="AB172" s="130">
        <v>0</v>
      </c>
      <c r="AC172" s="130">
        <v>0</v>
      </c>
      <c r="AD172" s="130">
        <v>0</v>
      </c>
      <c r="AE172" s="130">
        <v>0</v>
      </c>
      <c r="AF172" s="129">
        <v>0</v>
      </c>
      <c r="AG172" s="130">
        <v>0</v>
      </c>
      <c r="AH172" s="130">
        <v>0</v>
      </c>
      <c r="AI172" s="130">
        <v>0</v>
      </c>
      <c r="AJ172" s="30">
        <v>0</v>
      </c>
    </row>
    <row r="173" spans="2:36" ht="15" thickTop="1" x14ac:dyDescent="0.35">
      <c r="B173" s="226" t="s">
        <v>198</v>
      </c>
      <c r="C173" s="228" t="s">
        <v>466</v>
      </c>
      <c r="D173" s="125"/>
      <c r="E173" s="28"/>
      <c r="F173" s="126"/>
      <c r="G173" s="126"/>
      <c r="H173" s="126"/>
      <c r="I173" s="126"/>
      <c r="J173" s="126"/>
      <c r="K173" s="126"/>
      <c r="L173" s="126"/>
      <c r="M173" s="126"/>
      <c r="N173" s="126"/>
      <c r="O173" s="126"/>
      <c r="P173" s="126"/>
      <c r="Q173" s="126"/>
      <c r="R173" s="253" t="s">
        <v>467</v>
      </c>
      <c r="S173" s="253"/>
      <c r="T173" s="253"/>
      <c r="U173" s="253"/>
      <c r="V173" s="253"/>
      <c r="W173" s="253"/>
      <c r="X173" s="253"/>
      <c r="Y173" s="253"/>
      <c r="Z173" s="253"/>
      <c r="AA173" s="253"/>
      <c r="AB173" s="253"/>
      <c r="AC173" s="253"/>
      <c r="AD173" s="253"/>
      <c r="AE173" s="253"/>
      <c r="AF173" s="253"/>
      <c r="AG173" s="253"/>
      <c r="AH173" s="253"/>
      <c r="AI173" s="253"/>
      <c r="AJ173" s="254"/>
    </row>
    <row r="174" spans="2:36" ht="15" thickBot="1" x14ac:dyDescent="0.4">
      <c r="B174" s="227"/>
      <c r="C174" s="229"/>
      <c r="D174" s="128"/>
      <c r="E174" s="29">
        <v>0</v>
      </c>
      <c r="F174" s="129">
        <v>0</v>
      </c>
      <c r="G174" s="129">
        <v>0</v>
      </c>
      <c r="H174" s="129">
        <v>0</v>
      </c>
      <c r="I174" s="129">
        <v>0</v>
      </c>
      <c r="J174" s="129">
        <v>0</v>
      </c>
      <c r="K174" s="129">
        <v>0</v>
      </c>
      <c r="L174" s="129">
        <v>0</v>
      </c>
      <c r="M174" s="129">
        <v>0</v>
      </c>
      <c r="N174" s="129">
        <v>0</v>
      </c>
      <c r="O174" s="129">
        <v>0</v>
      </c>
      <c r="P174" s="129">
        <v>0</v>
      </c>
      <c r="Q174" s="129">
        <v>0</v>
      </c>
      <c r="R174" s="130">
        <v>0</v>
      </c>
      <c r="S174" s="130">
        <v>0</v>
      </c>
      <c r="T174" s="130">
        <v>0</v>
      </c>
      <c r="U174" s="130">
        <v>1</v>
      </c>
      <c r="V174" s="130">
        <v>0</v>
      </c>
      <c r="W174" s="130">
        <v>0</v>
      </c>
      <c r="X174" s="130">
        <v>0</v>
      </c>
      <c r="Y174" s="130">
        <v>0</v>
      </c>
      <c r="Z174" s="130">
        <v>0</v>
      </c>
      <c r="AA174" s="130">
        <v>0</v>
      </c>
      <c r="AB174" s="130">
        <v>0</v>
      </c>
      <c r="AC174" s="130">
        <v>0</v>
      </c>
      <c r="AD174" s="130">
        <v>0</v>
      </c>
      <c r="AE174" s="130">
        <v>0</v>
      </c>
      <c r="AF174" s="130">
        <v>0</v>
      </c>
      <c r="AG174" s="130">
        <v>0</v>
      </c>
      <c r="AH174" s="130">
        <v>0</v>
      </c>
      <c r="AI174" s="130">
        <v>0</v>
      </c>
      <c r="AJ174" s="30">
        <v>0</v>
      </c>
    </row>
    <row r="175" spans="2:36" ht="15" thickTop="1" x14ac:dyDescent="0.35">
      <c r="B175" s="226" t="s">
        <v>199</v>
      </c>
      <c r="C175" s="228" t="s">
        <v>468</v>
      </c>
      <c r="D175" s="125"/>
      <c r="E175" s="252" t="s">
        <v>469</v>
      </c>
      <c r="F175" s="253"/>
      <c r="G175" s="253"/>
      <c r="H175" s="253"/>
      <c r="I175" s="253"/>
      <c r="J175" s="253"/>
      <c r="K175" s="253"/>
      <c r="L175" s="253"/>
      <c r="M175" s="253"/>
      <c r="N175" s="253"/>
      <c r="O175" s="253"/>
      <c r="P175" s="253"/>
      <c r="Q175" s="253"/>
      <c r="R175" s="253"/>
      <c r="S175" s="253"/>
      <c r="T175" s="253"/>
      <c r="U175" s="253" t="s">
        <v>470</v>
      </c>
      <c r="V175" s="253"/>
      <c r="W175" s="253"/>
      <c r="X175" s="253"/>
      <c r="Y175" s="253"/>
      <c r="Z175" s="253"/>
      <c r="AA175" s="253"/>
      <c r="AB175" s="253"/>
      <c r="AC175" s="253"/>
      <c r="AD175" s="253"/>
      <c r="AE175" s="253"/>
      <c r="AF175" s="253"/>
      <c r="AG175" s="253"/>
      <c r="AH175" s="253"/>
      <c r="AI175" s="253"/>
      <c r="AJ175" s="254"/>
    </row>
    <row r="176" spans="2:36" ht="15" thickBot="1" x14ac:dyDescent="0.4">
      <c r="B176" s="227"/>
      <c r="C176" s="229"/>
      <c r="D176" s="128"/>
      <c r="E176" s="33">
        <v>1</v>
      </c>
      <c r="F176" s="130">
        <v>1</v>
      </c>
      <c r="G176" s="130">
        <v>0</v>
      </c>
      <c r="H176" s="130">
        <v>1</v>
      </c>
      <c r="I176" s="130">
        <v>1</v>
      </c>
      <c r="J176" s="130">
        <v>0</v>
      </c>
      <c r="K176" s="130">
        <v>0</v>
      </c>
      <c r="L176" s="130">
        <v>0</v>
      </c>
      <c r="M176" s="130">
        <v>0</v>
      </c>
      <c r="N176" s="130">
        <v>1</v>
      </c>
      <c r="O176" s="130">
        <v>1</v>
      </c>
      <c r="P176" s="130">
        <v>1</v>
      </c>
      <c r="Q176" s="130">
        <v>0</v>
      </c>
      <c r="R176" s="130">
        <v>1</v>
      </c>
      <c r="S176" s="130">
        <v>0</v>
      </c>
      <c r="T176" s="130">
        <v>1</v>
      </c>
      <c r="U176" s="130">
        <v>1</v>
      </c>
      <c r="V176" s="130">
        <v>0</v>
      </c>
      <c r="W176" s="130">
        <v>0</v>
      </c>
      <c r="X176" s="130">
        <v>0</v>
      </c>
      <c r="Y176" s="130">
        <v>0</v>
      </c>
      <c r="Z176" s="130">
        <v>0</v>
      </c>
      <c r="AA176" s="130">
        <v>0</v>
      </c>
      <c r="AB176" s="130">
        <v>0</v>
      </c>
      <c r="AC176" s="130">
        <v>0</v>
      </c>
      <c r="AD176" s="130">
        <v>0</v>
      </c>
      <c r="AE176" s="130">
        <v>0</v>
      </c>
      <c r="AF176" s="130">
        <v>0</v>
      </c>
      <c r="AG176" s="130">
        <v>0</v>
      </c>
      <c r="AH176" s="130">
        <v>0</v>
      </c>
      <c r="AI176" s="130">
        <v>0</v>
      </c>
      <c r="AJ176" s="30">
        <v>0</v>
      </c>
    </row>
    <row r="177" spans="2:36" ht="15" thickTop="1" x14ac:dyDescent="0.35">
      <c r="B177" s="226" t="s">
        <v>200</v>
      </c>
      <c r="C177" s="228" t="s">
        <v>471</v>
      </c>
      <c r="D177" s="125"/>
      <c r="E177" s="252" t="s">
        <v>472</v>
      </c>
      <c r="F177" s="253"/>
      <c r="G177" s="253"/>
      <c r="H177" s="253"/>
      <c r="I177" s="253"/>
      <c r="J177" s="253"/>
      <c r="K177" s="253"/>
      <c r="L177" s="253"/>
      <c r="M177" s="253"/>
      <c r="N177" s="253"/>
      <c r="O177" s="253"/>
      <c r="P177" s="253"/>
      <c r="Q177" s="253"/>
      <c r="R177" s="253"/>
      <c r="S177" s="253"/>
      <c r="T177" s="253"/>
      <c r="U177" s="253" t="s">
        <v>473</v>
      </c>
      <c r="V177" s="253"/>
      <c r="W177" s="253"/>
      <c r="X177" s="253"/>
      <c r="Y177" s="253"/>
      <c r="Z177" s="253"/>
      <c r="AA177" s="253"/>
      <c r="AB177" s="253"/>
      <c r="AC177" s="253"/>
      <c r="AD177" s="253"/>
      <c r="AE177" s="253"/>
      <c r="AF177" s="253"/>
      <c r="AG177" s="253"/>
      <c r="AH177" s="253"/>
      <c r="AI177" s="253"/>
      <c r="AJ177" s="254"/>
    </row>
    <row r="178" spans="2:36" ht="15" thickBot="1" x14ac:dyDescent="0.4">
      <c r="B178" s="227"/>
      <c r="C178" s="229"/>
      <c r="D178" s="128"/>
      <c r="E178" s="33">
        <v>1</v>
      </c>
      <c r="F178" s="130">
        <v>1</v>
      </c>
      <c r="G178" s="130">
        <v>0</v>
      </c>
      <c r="H178" s="130">
        <v>0</v>
      </c>
      <c r="I178" s="130">
        <v>0</v>
      </c>
      <c r="J178" s="130">
        <v>0</v>
      </c>
      <c r="K178" s="130">
        <v>0</v>
      </c>
      <c r="L178" s="130">
        <v>0</v>
      </c>
      <c r="M178" s="130">
        <v>0</v>
      </c>
      <c r="N178" s="130">
        <v>0</v>
      </c>
      <c r="O178" s="130">
        <v>0</v>
      </c>
      <c r="P178" s="130">
        <v>0</v>
      </c>
      <c r="Q178" s="130">
        <v>0</v>
      </c>
      <c r="R178" s="130">
        <v>0</v>
      </c>
      <c r="S178" s="130">
        <v>0</v>
      </c>
      <c r="T178" s="130">
        <v>0</v>
      </c>
      <c r="U178" s="130">
        <v>1</v>
      </c>
      <c r="V178" s="130">
        <v>1</v>
      </c>
      <c r="W178" s="130">
        <v>0</v>
      </c>
      <c r="X178" s="130">
        <v>0</v>
      </c>
      <c r="Y178" s="130">
        <v>0</v>
      </c>
      <c r="Z178" s="130">
        <v>0</v>
      </c>
      <c r="AA178" s="130">
        <v>0</v>
      </c>
      <c r="AB178" s="130">
        <v>0</v>
      </c>
      <c r="AC178" s="130">
        <v>0</v>
      </c>
      <c r="AD178" s="130">
        <v>0</v>
      </c>
      <c r="AE178" s="130">
        <v>0</v>
      </c>
      <c r="AF178" s="130">
        <v>0</v>
      </c>
      <c r="AG178" s="130">
        <v>0</v>
      </c>
      <c r="AH178" s="130">
        <v>0</v>
      </c>
      <c r="AI178" s="130">
        <v>0</v>
      </c>
      <c r="AJ178" s="30">
        <v>0</v>
      </c>
    </row>
    <row r="179" spans="2:36" ht="15" thickTop="1" x14ac:dyDescent="0.35">
      <c r="B179" s="226" t="s">
        <v>201</v>
      </c>
      <c r="C179" s="228" t="s">
        <v>474</v>
      </c>
      <c r="D179" s="125"/>
      <c r="E179" s="252" t="s">
        <v>475</v>
      </c>
      <c r="F179" s="253"/>
      <c r="G179" s="253"/>
      <c r="H179" s="253"/>
      <c r="I179" s="253"/>
      <c r="J179" s="253"/>
      <c r="K179" s="253"/>
      <c r="L179" s="253"/>
      <c r="M179" s="253"/>
      <c r="N179" s="253"/>
      <c r="O179" s="253"/>
      <c r="P179" s="253"/>
      <c r="Q179" s="253"/>
      <c r="R179" s="253"/>
      <c r="S179" s="253"/>
      <c r="T179" s="253"/>
      <c r="U179" s="253" t="s">
        <v>476</v>
      </c>
      <c r="V179" s="253"/>
      <c r="W179" s="253"/>
      <c r="X179" s="253"/>
      <c r="Y179" s="253"/>
      <c r="Z179" s="253"/>
      <c r="AA179" s="253"/>
      <c r="AB179" s="253"/>
      <c r="AC179" s="253"/>
      <c r="AD179" s="253"/>
      <c r="AE179" s="253"/>
      <c r="AF179" s="253"/>
      <c r="AG179" s="253"/>
      <c r="AH179" s="253"/>
      <c r="AI179" s="253"/>
      <c r="AJ179" s="254"/>
    </row>
    <row r="180" spans="2:36" ht="15" thickBot="1" x14ac:dyDescent="0.4">
      <c r="B180" s="227"/>
      <c r="C180" s="229"/>
      <c r="D180" s="128"/>
      <c r="E180" s="33">
        <v>0</v>
      </c>
      <c r="F180" s="130">
        <v>0</v>
      </c>
      <c r="G180" s="130">
        <v>0</v>
      </c>
      <c r="H180" s="130">
        <v>0</v>
      </c>
      <c r="I180" s="130">
        <v>0</v>
      </c>
      <c r="J180" s="130">
        <v>0</v>
      </c>
      <c r="K180" s="130">
        <v>0</v>
      </c>
      <c r="L180" s="130">
        <v>0</v>
      </c>
      <c r="M180" s="130">
        <v>0</v>
      </c>
      <c r="N180" s="130">
        <v>0</v>
      </c>
      <c r="O180" s="130">
        <v>0</v>
      </c>
      <c r="P180" s="130">
        <v>0</v>
      </c>
      <c r="Q180" s="130">
        <v>0</v>
      </c>
      <c r="R180" s="130">
        <v>0</v>
      </c>
      <c r="S180" s="130">
        <v>0</v>
      </c>
      <c r="T180" s="130">
        <v>0</v>
      </c>
      <c r="U180" s="130">
        <v>0</v>
      </c>
      <c r="V180" s="130">
        <v>0</v>
      </c>
      <c r="W180" s="130">
        <v>0</v>
      </c>
      <c r="X180" s="130">
        <v>0</v>
      </c>
      <c r="Y180" s="130">
        <v>0</v>
      </c>
      <c r="Z180" s="130">
        <v>0</v>
      </c>
      <c r="AA180" s="130">
        <v>0</v>
      </c>
      <c r="AB180" s="130">
        <v>0</v>
      </c>
      <c r="AC180" s="130">
        <v>0</v>
      </c>
      <c r="AD180" s="130">
        <v>0</v>
      </c>
      <c r="AE180" s="130">
        <v>0</v>
      </c>
      <c r="AF180" s="130">
        <v>0</v>
      </c>
      <c r="AG180" s="130">
        <v>0</v>
      </c>
      <c r="AH180" s="130">
        <v>0</v>
      </c>
      <c r="AI180" s="130">
        <v>0</v>
      </c>
      <c r="AJ180" s="30">
        <v>0</v>
      </c>
    </row>
    <row r="181" spans="2:36" ht="15" thickTop="1" x14ac:dyDescent="0.35">
      <c r="B181" s="226" t="s">
        <v>202</v>
      </c>
      <c r="C181" s="228" t="s">
        <v>477</v>
      </c>
      <c r="D181" s="125"/>
      <c r="E181" s="252" t="s">
        <v>478</v>
      </c>
      <c r="F181" s="253"/>
      <c r="G181" s="253"/>
      <c r="H181" s="253"/>
      <c r="I181" s="253"/>
      <c r="J181" s="253"/>
      <c r="K181" s="253"/>
      <c r="L181" s="253"/>
      <c r="M181" s="253"/>
      <c r="N181" s="253"/>
      <c r="O181" s="253"/>
      <c r="P181" s="253"/>
      <c r="Q181" s="253"/>
      <c r="R181" s="253"/>
      <c r="S181" s="253"/>
      <c r="T181" s="253"/>
      <c r="U181" s="253" t="s">
        <v>479</v>
      </c>
      <c r="V181" s="253"/>
      <c r="W181" s="253"/>
      <c r="X181" s="253"/>
      <c r="Y181" s="253"/>
      <c r="Z181" s="253"/>
      <c r="AA181" s="253"/>
      <c r="AB181" s="253"/>
      <c r="AC181" s="253"/>
      <c r="AD181" s="253"/>
      <c r="AE181" s="253"/>
      <c r="AF181" s="253"/>
      <c r="AG181" s="253"/>
      <c r="AH181" s="253"/>
      <c r="AI181" s="253"/>
      <c r="AJ181" s="254"/>
    </row>
    <row r="182" spans="2:36" ht="15" thickBot="1" x14ac:dyDescent="0.4">
      <c r="B182" s="227"/>
      <c r="C182" s="229"/>
      <c r="D182" s="128"/>
      <c r="E182" s="33">
        <v>0</v>
      </c>
      <c r="F182" s="130">
        <v>0</v>
      </c>
      <c r="G182" s="130">
        <v>0</v>
      </c>
      <c r="H182" s="130">
        <v>0</v>
      </c>
      <c r="I182" s="130">
        <v>0</v>
      </c>
      <c r="J182" s="130">
        <v>0</v>
      </c>
      <c r="K182" s="130">
        <v>0</v>
      </c>
      <c r="L182" s="130">
        <v>0</v>
      </c>
      <c r="M182" s="130">
        <v>0</v>
      </c>
      <c r="N182" s="130">
        <v>0</v>
      </c>
      <c r="O182" s="130">
        <v>0</v>
      </c>
      <c r="P182" s="130">
        <v>0</v>
      </c>
      <c r="Q182" s="130">
        <v>0</v>
      </c>
      <c r="R182" s="130">
        <v>0</v>
      </c>
      <c r="S182" s="130">
        <v>0</v>
      </c>
      <c r="T182" s="130">
        <v>0</v>
      </c>
      <c r="U182" s="130">
        <v>0</v>
      </c>
      <c r="V182" s="130">
        <v>0</v>
      </c>
      <c r="W182" s="130">
        <v>0</v>
      </c>
      <c r="X182" s="130">
        <v>0</v>
      </c>
      <c r="Y182" s="130">
        <v>0</v>
      </c>
      <c r="Z182" s="130">
        <v>0</v>
      </c>
      <c r="AA182" s="130">
        <v>0</v>
      </c>
      <c r="AB182" s="130">
        <v>0</v>
      </c>
      <c r="AC182" s="130">
        <v>0</v>
      </c>
      <c r="AD182" s="130">
        <v>0</v>
      </c>
      <c r="AE182" s="130">
        <v>0</v>
      </c>
      <c r="AF182" s="130">
        <v>0</v>
      </c>
      <c r="AG182" s="130">
        <v>0</v>
      </c>
      <c r="AH182" s="130">
        <v>0</v>
      </c>
      <c r="AI182" s="130">
        <v>0</v>
      </c>
      <c r="AJ182" s="30">
        <v>0</v>
      </c>
    </row>
    <row r="183" spans="2:36" ht="15" thickTop="1" x14ac:dyDescent="0.35">
      <c r="B183" s="226" t="s">
        <v>203</v>
      </c>
      <c r="C183" s="228" t="s">
        <v>480</v>
      </c>
      <c r="D183" s="125"/>
      <c r="E183" s="28"/>
      <c r="F183" s="126"/>
      <c r="G183" s="126"/>
      <c r="H183" s="126"/>
      <c r="I183" s="126"/>
      <c r="J183" s="126"/>
      <c r="K183" s="126"/>
      <c r="L183" s="126"/>
      <c r="M183" s="126"/>
      <c r="N183" s="126"/>
      <c r="O183" s="126"/>
      <c r="P183" s="126"/>
      <c r="Q183" s="126"/>
      <c r="R183" s="126"/>
      <c r="S183" s="126"/>
      <c r="T183" s="126"/>
      <c r="U183" s="253" t="s">
        <v>481</v>
      </c>
      <c r="V183" s="253"/>
      <c r="W183" s="253"/>
      <c r="X183" s="253"/>
      <c r="Y183" s="253"/>
      <c r="Z183" s="253"/>
      <c r="AA183" s="253"/>
      <c r="AB183" s="253"/>
      <c r="AC183" s="253" t="s">
        <v>482</v>
      </c>
      <c r="AD183" s="253"/>
      <c r="AE183" s="253"/>
      <c r="AF183" s="253"/>
      <c r="AG183" s="253"/>
      <c r="AH183" s="253"/>
      <c r="AI183" s="253"/>
      <c r="AJ183" s="254"/>
    </row>
    <row r="184" spans="2:36" ht="15" thickBot="1" x14ac:dyDescent="0.4">
      <c r="B184" s="227"/>
      <c r="C184" s="229"/>
      <c r="D184" s="128"/>
      <c r="E184" s="29">
        <v>0</v>
      </c>
      <c r="F184" s="129">
        <v>0</v>
      </c>
      <c r="G184" s="129">
        <v>0</v>
      </c>
      <c r="H184" s="129">
        <v>0</v>
      </c>
      <c r="I184" s="129">
        <v>0</v>
      </c>
      <c r="J184" s="129">
        <v>0</v>
      </c>
      <c r="K184" s="129">
        <v>0</v>
      </c>
      <c r="L184" s="129">
        <v>0</v>
      </c>
      <c r="M184" s="129">
        <v>0</v>
      </c>
      <c r="N184" s="129">
        <v>0</v>
      </c>
      <c r="O184" s="129">
        <v>0</v>
      </c>
      <c r="P184" s="129">
        <v>0</v>
      </c>
      <c r="Q184" s="129">
        <v>0</v>
      </c>
      <c r="R184" s="129">
        <v>0</v>
      </c>
      <c r="S184" s="129">
        <v>0</v>
      </c>
      <c r="T184" s="129">
        <v>0</v>
      </c>
      <c r="U184" s="130">
        <v>0</v>
      </c>
      <c r="V184" s="130">
        <v>0</v>
      </c>
      <c r="W184" s="130">
        <v>0</v>
      </c>
      <c r="X184" s="130">
        <v>0</v>
      </c>
      <c r="Y184" s="130">
        <v>0</v>
      </c>
      <c r="Z184" s="130">
        <v>0</v>
      </c>
      <c r="AA184" s="130">
        <v>0</v>
      </c>
      <c r="AB184" s="130">
        <v>0</v>
      </c>
      <c r="AC184" s="130">
        <v>0</v>
      </c>
      <c r="AD184" s="130">
        <v>0</v>
      </c>
      <c r="AE184" s="130">
        <v>0</v>
      </c>
      <c r="AF184" s="130">
        <v>0</v>
      </c>
      <c r="AG184" s="130">
        <v>0</v>
      </c>
      <c r="AH184" s="130">
        <v>0</v>
      </c>
      <c r="AI184" s="130">
        <v>0</v>
      </c>
      <c r="AJ184" s="30">
        <v>0</v>
      </c>
    </row>
    <row r="185" spans="2:36" ht="15" thickTop="1" x14ac:dyDescent="0.35">
      <c r="B185" s="226" t="s">
        <v>204</v>
      </c>
      <c r="C185" s="228" t="s">
        <v>483</v>
      </c>
      <c r="D185" s="125"/>
      <c r="E185" s="28"/>
      <c r="F185" s="126"/>
      <c r="G185" s="126"/>
      <c r="H185" s="126"/>
      <c r="I185" s="126"/>
      <c r="J185" s="126"/>
      <c r="K185" s="126"/>
      <c r="L185" s="126"/>
      <c r="M185" s="126"/>
      <c r="N185" s="126"/>
      <c r="O185" s="126"/>
      <c r="P185" s="126"/>
      <c r="Q185" s="126"/>
      <c r="R185" s="253" t="s">
        <v>484</v>
      </c>
      <c r="S185" s="253"/>
      <c r="T185" s="253"/>
      <c r="U185" s="253"/>
      <c r="V185" s="253"/>
      <c r="W185" s="253"/>
      <c r="X185" s="253"/>
      <c r="Y185" s="253" t="s">
        <v>485</v>
      </c>
      <c r="Z185" s="253"/>
      <c r="AA185" s="253"/>
      <c r="AB185" s="253"/>
      <c r="AC185" s="253"/>
      <c r="AD185" s="253"/>
      <c r="AE185" s="253"/>
      <c r="AF185" s="253"/>
      <c r="AG185" s="253"/>
      <c r="AH185" s="253"/>
      <c r="AI185" s="253"/>
      <c r="AJ185" s="254"/>
    </row>
    <row r="186" spans="2:36" ht="15" thickBot="1" x14ac:dyDescent="0.4">
      <c r="B186" s="227"/>
      <c r="C186" s="229"/>
      <c r="D186" s="128"/>
      <c r="E186" s="29">
        <v>0</v>
      </c>
      <c r="F186" s="129">
        <v>0</v>
      </c>
      <c r="G186" s="129">
        <v>0</v>
      </c>
      <c r="H186" s="129">
        <v>0</v>
      </c>
      <c r="I186" s="129">
        <v>0</v>
      </c>
      <c r="J186" s="129">
        <v>0</v>
      </c>
      <c r="K186" s="129">
        <v>0</v>
      </c>
      <c r="L186" s="129">
        <v>0</v>
      </c>
      <c r="M186" s="129">
        <v>0</v>
      </c>
      <c r="N186" s="129">
        <v>0</v>
      </c>
      <c r="O186" s="129">
        <v>0</v>
      </c>
      <c r="P186" s="129">
        <v>0</v>
      </c>
      <c r="Q186" s="129">
        <v>0</v>
      </c>
      <c r="R186" s="130">
        <v>0</v>
      </c>
      <c r="S186" s="130">
        <v>1</v>
      </c>
      <c r="T186" s="130">
        <v>1</v>
      </c>
      <c r="U186" s="130">
        <v>1</v>
      </c>
      <c r="V186" s="130">
        <v>1</v>
      </c>
      <c r="W186" s="130">
        <v>1</v>
      </c>
      <c r="X186" s="130">
        <v>1</v>
      </c>
      <c r="Y186" s="130">
        <v>0</v>
      </c>
      <c r="Z186" s="130">
        <v>1</v>
      </c>
      <c r="AA186" s="130">
        <v>1</v>
      </c>
      <c r="AB186" s="130">
        <v>1</v>
      </c>
      <c r="AC186" s="130">
        <v>0</v>
      </c>
      <c r="AD186" s="130">
        <v>1</v>
      </c>
      <c r="AE186" s="130">
        <v>0</v>
      </c>
      <c r="AF186" s="130">
        <v>1</v>
      </c>
      <c r="AG186" s="130">
        <v>1</v>
      </c>
      <c r="AH186" s="130">
        <v>1</v>
      </c>
      <c r="AI186" s="130">
        <v>1</v>
      </c>
      <c r="AJ186" s="30">
        <v>0</v>
      </c>
    </row>
    <row r="187" spans="2:36" ht="15" thickTop="1" x14ac:dyDescent="0.35">
      <c r="B187" s="226" t="s">
        <v>205</v>
      </c>
      <c r="C187" s="228" t="s">
        <v>486</v>
      </c>
      <c r="D187" s="125"/>
      <c r="E187" s="252" t="s">
        <v>487</v>
      </c>
      <c r="F187" s="253"/>
      <c r="G187" s="253"/>
      <c r="H187" s="253"/>
      <c r="I187" s="253"/>
      <c r="J187" s="253"/>
      <c r="K187" s="253"/>
      <c r="L187" s="253"/>
      <c r="M187" s="253"/>
      <c r="N187" s="253"/>
      <c r="O187" s="253"/>
      <c r="P187" s="253"/>
      <c r="Q187" s="253"/>
      <c r="R187" s="253"/>
      <c r="S187" s="253"/>
      <c r="T187" s="253"/>
      <c r="U187" s="253" t="s">
        <v>488</v>
      </c>
      <c r="V187" s="253"/>
      <c r="W187" s="253"/>
      <c r="X187" s="253"/>
      <c r="Y187" s="253"/>
      <c r="Z187" s="253"/>
      <c r="AA187" s="253"/>
      <c r="AB187" s="253"/>
      <c r="AC187" s="253"/>
      <c r="AD187" s="253"/>
      <c r="AE187" s="253"/>
      <c r="AF187" s="253"/>
      <c r="AG187" s="253"/>
      <c r="AH187" s="253"/>
      <c r="AI187" s="253"/>
      <c r="AJ187" s="254"/>
    </row>
    <row r="188" spans="2:36" ht="15" thickBot="1" x14ac:dyDescent="0.4">
      <c r="B188" s="227"/>
      <c r="C188" s="229"/>
      <c r="D188" s="128"/>
      <c r="E188" s="33">
        <v>0</v>
      </c>
      <c r="F188" s="130">
        <v>0</v>
      </c>
      <c r="G188" s="130">
        <v>0</v>
      </c>
      <c r="H188" s="130">
        <v>0</v>
      </c>
      <c r="I188" s="130">
        <v>0</v>
      </c>
      <c r="J188" s="130">
        <v>0</v>
      </c>
      <c r="K188" s="130">
        <v>0</v>
      </c>
      <c r="L188" s="130">
        <v>0</v>
      </c>
      <c r="M188" s="130">
        <v>0</v>
      </c>
      <c r="N188" s="130">
        <v>0</v>
      </c>
      <c r="O188" s="130">
        <v>0</v>
      </c>
      <c r="P188" s="130">
        <v>0</v>
      </c>
      <c r="Q188" s="130">
        <v>0</v>
      </c>
      <c r="R188" s="130">
        <v>0</v>
      </c>
      <c r="S188" s="130">
        <v>0</v>
      </c>
      <c r="T188" s="130">
        <v>0</v>
      </c>
      <c r="U188" s="130">
        <v>0</v>
      </c>
      <c r="V188" s="130">
        <v>0</v>
      </c>
      <c r="W188" s="130">
        <v>1</v>
      </c>
      <c r="X188" s="130">
        <v>0</v>
      </c>
      <c r="Y188" s="130">
        <v>0</v>
      </c>
      <c r="Z188" s="130">
        <v>0</v>
      </c>
      <c r="AA188" s="130">
        <v>0</v>
      </c>
      <c r="AB188" s="130">
        <v>0</v>
      </c>
      <c r="AC188" s="130">
        <v>0</v>
      </c>
      <c r="AD188" s="130">
        <v>0</v>
      </c>
      <c r="AE188" s="130">
        <v>0</v>
      </c>
      <c r="AF188" s="130">
        <v>0</v>
      </c>
      <c r="AG188" s="130">
        <v>0</v>
      </c>
      <c r="AH188" s="130">
        <v>0</v>
      </c>
      <c r="AI188" s="130">
        <v>0</v>
      </c>
      <c r="AJ188" s="30">
        <v>0</v>
      </c>
    </row>
    <row r="189" spans="2:36" ht="15" thickTop="1" x14ac:dyDescent="0.35">
      <c r="B189" s="226" t="s">
        <v>206</v>
      </c>
      <c r="C189" s="228" t="s">
        <v>489</v>
      </c>
      <c r="D189" s="125"/>
      <c r="E189" s="252" t="s">
        <v>490</v>
      </c>
      <c r="F189" s="253"/>
      <c r="G189" s="253"/>
      <c r="H189" s="253"/>
      <c r="I189" s="253"/>
      <c r="J189" s="253"/>
      <c r="K189" s="253"/>
      <c r="L189" s="253"/>
      <c r="M189" s="253"/>
      <c r="N189" s="253"/>
      <c r="O189" s="253"/>
      <c r="P189" s="253"/>
      <c r="Q189" s="253"/>
      <c r="R189" s="253"/>
      <c r="S189" s="253"/>
      <c r="T189" s="253"/>
      <c r="U189" s="253" t="s">
        <v>491</v>
      </c>
      <c r="V189" s="253"/>
      <c r="W189" s="253"/>
      <c r="X189" s="253"/>
      <c r="Y189" s="253"/>
      <c r="Z189" s="253"/>
      <c r="AA189" s="253"/>
      <c r="AB189" s="253"/>
      <c r="AC189" s="253"/>
      <c r="AD189" s="253"/>
      <c r="AE189" s="253"/>
      <c r="AF189" s="253"/>
      <c r="AG189" s="253"/>
      <c r="AH189" s="253"/>
      <c r="AI189" s="253"/>
      <c r="AJ189" s="254"/>
    </row>
    <row r="190" spans="2:36" ht="15" thickBot="1" x14ac:dyDescent="0.4">
      <c r="B190" s="227"/>
      <c r="C190" s="229"/>
      <c r="D190" s="128"/>
      <c r="E190" s="33">
        <v>0</v>
      </c>
      <c r="F190" s="130">
        <v>0</v>
      </c>
      <c r="G190" s="130">
        <v>0</v>
      </c>
      <c r="H190" s="130">
        <v>0</v>
      </c>
      <c r="I190" s="130">
        <v>0</v>
      </c>
      <c r="J190" s="130">
        <v>0</v>
      </c>
      <c r="K190" s="130">
        <v>0</v>
      </c>
      <c r="L190" s="130">
        <v>0</v>
      </c>
      <c r="M190" s="130">
        <v>0</v>
      </c>
      <c r="N190" s="130">
        <v>0</v>
      </c>
      <c r="O190" s="130">
        <v>0</v>
      </c>
      <c r="P190" s="130">
        <v>0</v>
      </c>
      <c r="Q190" s="130">
        <v>0</v>
      </c>
      <c r="R190" s="130">
        <v>0</v>
      </c>
      <c r="S190" s="130">
        <v>0</v>
      </c>
      <c r="T190" s="130">
        <v>0</v>
      </c>
      <c r="U190" s="130">
        <v>0</v>
      </c>
      <c r="V190" s="130">
        <v>0</v>
      </c>
      <c r="W190" s="130">
        <v>0</v>
      </c>
      <c r="X190" s="130">
        <v>0</v>
      </c>
      <c r="Y190" s="130">
        <v>0</v>
      </c>
      <c r="Z190" s="130">
        <v>0</v>
      </c>
      <c r="AA190" s="130">
        <v>0</v>
      </c>
      <c r="AB190" s="130">
        <v>0</v>
      </c>
      <c r="AC190" s="130">
        <v>0</v>
      </c>
      <c r="AD190" s="130">
        <v>0</v>
      </c>
      <c r="AE190" s="130">
        <v>0</v>
      </c>
      <c r="AF190" s="130">
        <v>0</v>
      </c>
      <c r="AG190" s="130">
        <v>0</v>
      </c>
      <c r="AH190" s="130">
        <v>0</v>
      </c>
      <c r="AI190" s="130">
        <v>0</v>
      </c>
      <c r="AJ190" s="30">
        <v>0</v>
      </c>
    </row>
    <row r="191" spans="2:36" ht="15" thickTop="1" x14ac:dyDescent="0.35">
      <c r="B191" s="226" t="s">
        <v>207</v>
      </c>
      <c r="C191" s="228" t="s">
        <v>492</v>
      </c>
      <c r="D191" s="125"/>
      <c r="E191" s="252" t="s">
        <v>493</v>
      </c>
      <c r="F191" s="253"/>
      <c r="G191" s="253"/>
      <c r="H191" s="253"/>
      <c r="I191" s="253"/>
      <c r="J191" s="253"/>
      <c r="K191" s="253"/>
      <c r="L191" s="253"/>
      <c r="M191" s="253"/>
      <c r="N191" s="253"/>
      <c r="O191" s="253"/>
      <c r="P191" s="253"/>
      <c r="Q191" s="253"/>
      <c r="R191" s="253"/>
      <c r="S191" s="253"/>
      <c r="T191" s="253"/>
      <c r="U191" s="253" t="s">
        <v>494</v>
      </c>
      <c r="V191" s="253"/>
      <c r="W191" s="253"/>
      <c r="X191" s="253"/>
      <c r="Y191" s="253"/>
      <c r="Z191" s="253"/>
      <c r="AA191" s="253"/>
      <c r="AB191" s="253"/>
      <c r="AC191" s="253"/>
      <c r="AD191" s="253"/>
      <c r="AE191" s="253"/>
      <c r="AF191" s="253"/>
      <c r="AG191" s="253"/>
      <c r="AH191" s="253"/>
      <c r="AI191" s="253"/>
      <c r="AJ191" s="254"/>
    </row>
    <row r="192" spans="2:36" ht="15" thickBot="1" x14ac:dyDescent="0.4">
      <c r="B192" s="227"/>
      <c r="C192" s="229"/>
      <c r="D192" s="128"/>
      <c r="E192" s="33">
        <v>1</v>
      </c>
      <c r="F192" s="130">
        <v>1</v>
      </c>
      <c r="G192" s="130">
        <v>0</v>
      </c>
      <c r="H192" s="130">
        <v>1</v>
      </c>
      <c r="I192" s="130">
        <v>1</v>
      </c>
      <c r="J192" s="130">
        <v>0</v>
      </c>
      <c r="K192" s="130">
        <v>0</v>
      </c>
      <c r="L192" s="130">
        <v>0</v>
      </c>
      <c r="M192" s="130">
        <v>0</v>
      </c>
      <c r="N192" s="130">
        <v>1</v>
      </c>
      <c r="O192" s="130">
        <v>0</v>
      </c>
      <c r="P192" s="130">
        <v>1</v>
      </c>
      <c r="Q192" s="130">
        <v>0</v>
      </c>
      <c r="R192" s="130">
        <v>0</v>
      </c>
      <c r="S192" s="130">
        <v>0</v>
      </c>
      <c r="T192" s="130">
        <v>0</v>
      </c>
      <c r="U192" s="130">
        <v>1</v>
      </c>
      <c r="V192" s="130">
        <v>0</v>
      </c>
      <c r="W192" s="130">
        <v>0</v>
      </c>
      <c r="X192" s="130">
        <v>0</v>
      </c>
      <c r="Y192" s="130">
        <v>0</v>
      </c>
      <c r="Z192" s="130">
        <v>0</v>
      </c>
      <c r="AA192" s="130">
        <v>0</v>
      </c>
      <c r="AB192" s="130">
        <v>0</v>
      </c>
      <c r="AC192" s="130">
        <v>0</v>
      </c>
      <c r="AD192" s="130">
        <v>0</v>
      </c>
      <c r="AE192" s="130">
        <v>0</v>
      </c>
      <c r="AF192" s="130">
        <v>0</v>
      </c>
      <c r="AG192" s="130">
        <v>0</v>
      </c>
      <c r="AH192" s="130">
        <v>0</v>
      </c>
      <c r="AI192" s="130">
        <v>0</v>
      </c>
      <c r="AJ192" s="30">
        <v>0</v>
      </c>
    </row>
    <row r="193" spans="2:36" ht="15" thickTop="1" x14ac:dyDescent="0.35">
      <c r="B193" s="226" t="s">
        <v>208</v>
      </c>
      <c r="C193" s="228" t="s">
        <v>495</v>
      </c>
      <c r="D193" s="125"/>
      <c r="E193" s="252" t="s">
        <v>496</v>
      </c>
      <c r="F193" s="253"/>
      <c r="G193" s="253"/>
      <c r="H193" s="253"/>
      <c r="I193" s="253"/>
      <c r="J193" s="253"/>
      <c r="K193" s="253"/>
      <c r="L193" s="253"/>
      <c r="M193" s="253"/>
      <c r="N193" s="253"/>
      <c r="O193" s="253"/>
      <c r="P193" s="253"/>
      <c r="Q193" s="253"/>
      <c r="R193" s="253"/>
      <c r="S193" s="253"/>
      <c r="T193" s="253"/>
      <c r="U193" s="253" t="s">
        <v>497</v>
      </c>
      <c r="V193" s="253"/>
      <c r="W193" s="253"/>
      <c r="X193" s="253"/>
      <c r="Y193" s="253"/>
      <c r="Z193" s="253"/>
      <c r="AA193" s="253"/>
      <c r="AB193" s="253"/>
      <c r="AC193" s="253"/>
      <c r="AD193" s="253"/>
      <c r="AE193" s="253"/>
      <c r="AF193" s="253"/>
      <c r="AG193" s="253"/>
      <c r="AH193" s="253"/>
      <c r="AI193" s="253"/>
      <c r="AJ193" s="254"/>
    </row>
    <row r="194" spans="2:36" ht="15" thickBot="1" x14ac:dyDescent="0.4">
      <c r="B194" s="227"/>
      <c r="C194" s="229"/>
      <c r="D194" s="128"/>
      <c r="E194" s="33">
        <v>0</v>
      </c>
      <c r="F194" s="130">
        <v>0</v>
      </c>
      <c r="G194" s="130">
        <v>0</v>
      </c>
      <c r="H194" s="130">
        <v>0</v>
      </c>
      <c r="I194" s="130">
        <v>0</v>
      </c>
      <c r="J194" s="130">
        <v>0</v>
      </c>
      <c r="K194" s="130">
        <v>0</v>
      </c>
      <c r="L194" s="130">
        <v>0</v>
      </c>
      <c r="M194" s="130">
        <v>0</v>
      </c>
      <c r="N194" s="130">
        <v>0</v>
      </c>
      <c r="O194" s="130">
        <v>0</v>
      </c>
      <c r="P194" s="130">
        <v>0</v>
      </c>
      <c r="Q194" s="130">
        <v>0</v>
      </c>
      <c r="R194" s="130">
        <v>0</v>
      </c>
      <c r="S194" s="130">
        <v>0</v>
      </c>
      <c r="T194" s="130">
        <v>0</v>
      </c>
      <c r="U194" s="130">
        <v>1</v>
      </c>
      <c r="V194" s="130">
        <v>0</v>
      </c>
      <c r="W194" s="130">
        <v>0</v>
      </c>
      <c r="X194" s="130">
        <v>0</v>
      </c>
      <c r="Y194" s="130">
        <v>0</v>
      </c>
      <c r="Z194" s="130">
        <v>0</v>
      </c>
      <c r="AA194" s="130">
        <v>0</v>
      </c>
      <c r="AB194" s="130">
        <v>0</v>
      </c>
      <c r="AC194" s="130">
        <v>0</v>
      </c>
      <c r="AD194" s="130">
        <v>0</v>
      </c>
      <c r="AE194" s="130">
        <v>0</v>
      </c>
      <c r="AF194" s="130">
        <v>0</v>
      </c>
      <c r="AG194" s="130">
        <v>0</v>
      </c>
      <c r="AH194" s="130">
        <v>0</v>
      </c>
      <c r="AI194" s="130">
        <v>0</v>
      </c>
      <c r="AJ194" s="30">
        <v>0</v>
      </c>
    </row>
    <row r="195" spans="2:36" ht="15" thickTop="1" x14ac:dyDescent="0.35">
      <c r="B195" s="226" t="s">
        <v>209</v>
      </c>
      <c r="C195" s="228" t="s">
        <v>498</v>
      </c>
      <c r="D195" s="125"/>
      <c r="E195" s="252" t="s">
        <v>499</v>
      </c>
      <c r="F195" s="253"/>
      <c r="G195" s="253"/>
      <c r="H195" s="253"/>
      <c r="I195" s="253"/>
      <c r="J195" s="253"/>
      <c r="K195" s="253"/>
      <c r="L195" s="253"/>
      <c r="M195" s="253"/>
      <c r="N195" s="253"/>
      <c r="O195" s="253"/>
      <c r="P195" s="253"/>
      <c r="Q195" s="253"/>
      <c r="R195" s="253"/>
      <c r="S195" s="253"/>
      <c r="T195" s="253"/>
      <c r="U195" s="253" t="s">
        <v>500</v>
      </c>
      <c r="V195" s="253"/>
      <c r="W195" s="253"/>
      <c r="X195" s="253"/>
      <c r="Y195" s="253"/>
      <c r="Z195" s="253"/>
      <c r="AA195" s="253"/>
      <c r="AB195" s="253"/>
      <c r="AC195" s="253"/>
      <c r="AD195" s="253"/>
      <c r="AE195" s="253"/>
      <c r="AF195" s="253"/>
      <c r="AG195" s="253"/>
      <c r="AH195" s="253"/>
      <c r="AI195" s="253"/>
      <c r="AJ195" s="254"/>
    </row>
    <row r="196" spans="2:36" ht="15" thickBot="1" x14ac:dyDescent="0.4">
      <c r="B196" s="227"/>
      <c r="C196" s="229"/>
      <c r="D196" s="128"/>
      <c r="E196" s="33">
        <v>0</v>
      </c>
      <c r="F196" s="130">
        <v>0</v>
      </c>
      <c r="G196" s="130">
        <v>1</v>
      </c>
      <c r="H196" s="130">
        <v>0</v>
      </c>
      <c r="I196" s="130">
        <v>0</v>
      </c>
      <c r="J196" s="130">
        <v>0</v>
      </c>
      <c r="K196" s="130">
        <v>0</v>
      </c>
      <c r="L196" s="130">
        <v>0</v>
      </c>
      <c r="M196" s="130">
        <v>0</v>
      </c>
      <c r="N196" s="130">
        <v>0</v>
      </c>
      <c r="O196" s="130">
        <v>0</v>
      </c>
      <c r="P196" s="130">
        <v>0</v>
      </c>
      <c r="Q196" s="130">
        <v>0</v>
      </c>
      <c r="R196" s="130">
        <v>0</v>
      </c>
      <c r="S196" s="130">
        <v>0</v>
      </c>
      <c r="T196" s="130">
        <v>0</v>
      </c>
      <c r="U196" s="130">
        <v>0</v>
      </c>
      <c r="V196" s="130">
        <v>0</v>
      </c>
      <c r="W196" s="130">
        <v>1</v>
      </c>
      <c r="X196" s="130">
        <v>0</v>
      </c>
      <c r="Y196" s="130">
        <v>0</v>
      </c>
      <c r="Z196" s="130">
        <v>0</v>
      </c>
      <c r="AA196" s="130">
        <v>0</v>
      </c>
      <c r="AB196" s="130">
        <v>0</v>
      </c>
      <c r="AC196" s="130">
        <v>0</v>
      </c>
      <c r="AD196" s="130">
        <v>0</v>
      </c>
      <c r="AE196" s="130">
        <v>0</v>
      </c>
      <c r="AF196" s="130">
        <v>0</v>
      </c>
      <c r="AG196" s="130">
        <v>0</v>
      </c>
      <c r="AH196" s="130">
        <v>0</v>
      </c>
      <c r="AI196" s="130">
        <v>0</v>
      </c>
      <c r="AJ196" s="30">
        <v>0</v>
      </c>
    </row>
    <row r="197" spans="2:36" ht="15" thickTop="1" x14ac:dyDescent="0.35">
      <c r="B197" s="226" t="s">
        <v>210</v>
      </c>
      <c r="C197" s="228" t="s">
        <v>501</v>
      </c>
      <c r="D197" s="125"/>
      <c r="E197" s="28"/>
      <c r="F197" s="126"/>
      <c r="G197" s="126"/>
      <c r="H197" s="126"/>
      <c r="I197" s="126"/>
      <c r="J197" s="126"/>
      <c r="K197" s="126"/>
      <c r="L197" s="126"/>
      <c r="M197" s="126"/>
      <c r="N197" s="126"/>
      <c r="O197" s="126"/>
      <c r="P197" s="126"/>
      <c r="Q197" s="126"/>
      <c r="R197" s="126"/>
      <c r="S197" s="126"/>
      <c r="T197" s="127" t="s">
        <v>502</v>
      </c>
      <c r="U197" s="253" t="s">
        <v>503</v>
      </c>
      <c r="V197" s="253"/>
      <c r="W197" s="253"/>
      <c r="X197" s="253"/>
      <c r="Y197" s="253"/>
      <c r="Z197" s="253"/>
      <c r="AA197" s="253"/>
      <c r="AB197" s="253"/>
      <c r="AC197" s="253"/>
      <c r="AD197" s="253"/>
      <c r="AE197" s="253"/>
      <c r="AF197" s="253"/>
      <c r="AG197" s="253"/>
      <c r="AH197" s="253"/>
      <c r="AI197" s="253"/>
      <c r="AJ197" s="254"/>
    </row>
    <row r="198" spans="2:36" ht="15" thickBot="1" x14ac:dyDescent="0.4">
      <c r="B198" s="227"/>
      <c r="C198" s="229"/>
      <c r="D198" s="128"/>
      <c r="E198" s="29">
        <v>0</v>
      </c>
      <c r="F198" s="129">
        <v>0</v>
      </c>
      <c r="G198" s="129">
        <v>0</v>
      </c>
      <c r="H198" s="129">
        <v>0</v>
      </c>
      <c r="I198" s="129">
        <v>0</v>
      </c>
      <c r="J198" s="129">
        <v>0</v>
      </c>
      <c r="K198" s="129">
        <v>0</v>
      </c>
      <c r="L198" s="129">
        <v>0</v>
      </c>
      <c r="M198" s="129">
        <v>0</v>
      </c>
      <c r="N198" s="129">
        <v>0</v>
      </c>
      <c r="O198" s="129">
        <v>0</v>
      </c>
      <c r="P198" s="129">
        <v>0</v>
      </c>
      <c r="Q198" s="129">
        <v>0</v>
      </c>
      <c r="R198" s="129">
        <v>0</v>
      </c>
      <c r="S198" s="129">
        <v>0</v>
      </c>
      <c r="T198" s="130">
        <v>1</v>
      </c>
      <c r="U198" s="130">
        <v>0</v>
      </c>
      <c r="V198" s="130">
        <v>0</v>
      </c>
      <c r="W198" s="130">
        <v>1</v>
      </c>
      <c r="X198" s="130">
        <v>0</v>
      </c>
      <c r="Y198" s="130">
        <v>0</v>
      </c>
      <c r="Z198" s="130">
        <v>0</v>
      </c>
      <c r="AA198" s="130">
        <v>0</v>
      </c>
      <c r="AB198" s="130">
        <v>0</v>
      </c>
      <c r="AC198" s="130">
        <v>0</v>
      </c>
      <c r="AD198" s="130">
        <v>0</v>
      </c>
      <c r="AE198" s="130">
        <v>0</v>
      </c>
      <c r="AF198" s="130">
        <v>0</v>
      </c>
      <c r="AG198" s="130">
        <v>0</v>
      </c>
      <c r="AH198" s="130">
        <v>0</v>
      </c>
      <c r="AI198" s="130">
        <v>0</v>
      </c>
      <c r="AJ198" s="30">
        <v>0</v>
      </c>
    </row>
    <row r="199" spans="2:36" ht="15" thickTop="1" x14ac:dyDescent="0.35">
      <c r="B199" s="226" t="s">
        <v>211</v>
      </c>
      <c r="C199" s="228" t="s">
        <v>504</v>
      </c>
      <c r="D199" s="125"/>
      <c r="E199" s="252" t="s">
        <v>505</v>
      </c>
      <c r="F199" s="253"/>
      <c r="G199" s="253"/>
      <c r="H199" s="253"/>
      <c r="I199" s="253"/>
      <c r="J199" s="253"/>
      <c r="K199" s="253"/>
      <c r="L199" s="253"/>
      <c r="M199" s="253"/>
      <c r="N199" s="253"/>
      <c r="O199" s="253"/>
      <c r="P199" s="253"/>
      <c r="Q199" s="253"/>
      <c r="R199" s="253"/>
      <c r="S199" s="253"/>
      <c r="T199" s="253"/>
      <c r="U199" s="253" t="s">
        <v>506</v>
      </c>
      <c r="V199" s="253"/>
      <c r="W199" s="253"/>
      <c r="X199" s="253"/>
      <c r="Y199" s="253"/>
      <c r="Z199" s="253"/>
      <c r="AA199" s="253"/>
      <c r="AB199" s="253"/>
      <c r="AC199" s="253"/>
      <c r="AD199" s="253"/>
      <c r="AE199" s="253"/>
      <c r="AF199" s="253"/>
      <c r="AG199" s="253"/>
      <c r="AH199" s="253"/>
      <c r="AI199" s="253"/>
      <c r="AJ199" s="254"/>
    </row>
    <row r="200" spans="2:36" ht="15" thickBot="1" x14ac:dyDescent="0.4">
      <c r="B200" s="227"/>
      <c r="C200" s="229"/>
      <c r="D200" s="128"/>
      <c r="E200" s="33">
        <v>0</v>
      </c>
      <c r="F200" s="130">
        <v>0</v>
      </c>
      <c r="G200" s="130">
        <v>0</v>
      </c>
      <c r="H200" s="130">
        <v>0</v>
      </c>
      <c r="I200" s="130">
        <v>0</v>
      </c>
      <c r="J200" s="130">
        <v>0</v>
      </c>
      <c r="K200" s="130">
        <v>0</v>
      </c>
      <c r="L200" s="130">
        <v>0</v>
      </c>
      <c r="M200" s="130">
        <v>0</v>
      </c>
      <c r="N200" s="130">
        <v>0</v>
      </c>
      <c r="O200" s="130">
        <v>0</v>
      </c>
      <c r="P200" s="130">
        <v>0</v>
      </c>
      <c r="Q200" s="130">
        <v>0</v>
      </c>
      <c r="R200" s="130">
        <v>0</v>
      </c>
      <c r="S200" s="130">
        <v>0</v>
      </c>
      <c r="T200" s="130">
        <v>0</v>
      </c>
      <c r="U200" s="130">
        <v>0</v>
      </c>
      <c r="V200" s="130">
        <v>0</v>
      </c>
      <c r="W200" s="130">
        <v>0</v>
      </c>
      <c r="X200" s="130">
        <v>0</v>
      </c>
      <c r="Y200" s="130">
        <v>0</v>
      </c>
      <c r="Z200" s="130">
        <v>0</v>
      </c>
      <c r="AA200" s="130">
        <v>0</v>
      </c>
      <c r="AB200" s="130">
        <v>0</v>
      </c>
      <c r="AC200" s="130">
        <v>0</v>
      </c>
      <c r="AD200" s="130">
        <v>0</v>
      </c>
      <c r="AE200" s="130">
        <v>0</v>
      </c>
      <c r="AF200" s="130">
        <v>0</v>
      </c>
      <c r="AG200" s="130">
        <v>0</v>
      </c>
      <c r="AH200" s="130">
        <v>0</v>
      </c>
      <c r="AI200" s="130">
        <v>0</v>
      </c>
      <c r="AJ200" s="30">
        <v>0</v>
      </c>
    </row>
    <row r="201" spans="2:36" ht="15" thickTop="1" x14ac:dyDescent="0.35">
      <c r="B201" s="226" t="s">
        <v>212</v>
      </c>
      <c r="C201" s="228" t="s">
        <v>507</v>
      </c>
      <c r="D201" s="125"/>
      <c r="E201" s="252" t="s">
        <v>508</v>
      </c>
      <c r="F201" s="253"/>
      <c r="G201" s="253"/>
      <c r="H201" s="253"/>
      <c r="I201" s="253"/>
      <c r="J201" s="253"/>
      <c r="K201" s="253"/>
      <c r="L201" s="253"/>
      <c r="M201" s="253"/>
      <c r="N201" s="253"/>
      <c r="O201" s="253"/>
      <c r="P201" s="253"/>
      <c r="Q201" s="253"/>
      <c r="R201" s="253"/>
      <c r="S201" s="253"/>
      <c r="T201" s="253"/>
      <c r="U201" s="126"/>
      <c r="V201" s="126"/>
      <c r="W201" s="126"/>
      <c r="X201" s="126"/>
      <c r="Y201" s="126"/>
      <c r="Z201" s="126"/>
      <c r="AA201" s="126"/>
      <c r="AB201" s="126"/>
      <c r="AC201" s="126"/>
      <c r="AD201" s="126"/>
      <c r="AE201" s="126"/>
      <c r="AF201" s="126"/>
      <c r="AG201" s="126"/>
      <c r="AH201" s="126"/>
      <c r="AI201" s="126"/>
      <c r="AJ201" s="31"/>
    </row>
    <row r="202" spans="2:36" ht="15" thickBot="1" x14ac:dyDescent="0.4">
      <c r="B202" s="227"/>
      <c r="C202" s="229"/>
      <c r="D202" s="128"/>
      <c r="E202" s="33">
        <v>0</v>
      </c>
      <c r="F202" s="130">
        <v>0</v>
      </c>
      <c r="G202" s="130">
        <v>1</v>
      </c>
      <c r="H202" s="130">
        <v>0</v>
      </c>
      <c r="I202" s="130">
        <v>0</v>
      </c>
      <c r="J202" s="130">
        <v>0</v>
      </c>
      <c r="K202" s="130">
        <v>0</v>
      </c>
      <c r="L202" s="130">
        <v>0</v>
      </c>
      <c r="M202" s="130">
        <v>0</v>
      </c>
      <c r="N202" s="130">
        <v>0</v>
      </c>
      <c r="O202" s="130">
        <v>0</v>
      </c>
      <c r="P202" s="130">
        <v>0</v>
      </c>
      <c r="Q202" s="130">
        <v>0</v>
      </c>
      <c r="R202" s="130">
        <v>0</v>
      </c>
      <c r="S202" s="130">
        <v>0</v>
      </c>
      <c r="T202" s="130">
        <v>0</v>
      </c>
      <c r="U202" s="129">
        <v>0</v>
      </c>
      <c r="V202" s="129">
        <v>0</v>
      </c>
      <c r="W202" s="129">
        <v>0</v>
      </c>
      <c r="X202" s="129">
        <v>0</v>
      </c>
      <c r="Y202" s="129">
        <v>0</v>
      </c>
      <c r="Z202" s="129">
        <v>0</v>
      </c>
      <c r="AA202" s="129">
        <v>0</v>
      </c>
      <c r="AB202" s="129">
        <v>0</v>
      </c>
      <c r="AC202" s="129">
        <v>0</v>
      </c>
      <c r="AD202" s="129">
        <v>0</v>
      </c>
      <c r="AE202" s="129">
        <v>0</v>
      </c>
      <c r="AF202" s="129">
        <v>0</v>
      </c>
      <c r="AG202" s="129">
        <v>0</v>
      </c>
      <c r="AH202" s="129">
        <v>0</v>
      </c>
      <c r="AI202" s="129">
        <v>0</v>
      </c>
      <c r="AJ202" s="32">
        <v>0</v>
      </c>
    </row>
    <row r="203" spans="2:36" ht="15" thickTop="1" x14ac:dyDescent="0.35">
      <c r="B203" s="226" t="s">
        <v>213</v>
      </c>
      <c r="C203" s="228" t="s">
        <v>509</v>
      </c>
      <c r="D203" s="125"/>
      <c r="E203" s="28"/>
      <c r="F203" s="126"/>
      <c r="G203" s="126"/>
      <c r="H203" s="126"/>
      <c r="I203" s="126"/>
      <c r="J203" s="126"/>
      <c r="K203" s="126"/>
      <c r="L203" s="126"/>
      <c r="M203" s="126"/>
      <c r="N203" s="126"/>
      <c r="O203" s="126"/>
      <c r="P203" s="126"/>
      <c r="Q203" s="126"/>
      <c r="R203" s="126"/>
      <c r="S203" s="253" t="s">
        <v>510</v>
      </c>
      <c r="T203" s="253"/>
      <c r="U203" s="253"/>
      <c r="V203" s="253"/>
      <c r="W203" s="253"/>
      <c r="X203" s="253"/>
      <c r="Y203" s="253"/>
      <c r="Z203" s="253"/>
      <c r="AA203" s="253"/>
      <c r="AB203" s="253"/>
      <c r="AC203" s="253"/>
      <c r="AD203" s="253"/>
      <c r="AE203" s="253"/>
      <c r="AF203" s="253"/>
      <c r="AG203" s="253"/>
      <c r="AH203" s="253"/>
      <c r="AI203" s="253"/>
      <c r="AJ203" s="254"/>
    </row>
    <row r="204" spans="2:36" ht="15" thickBot="1" x14ac:dyDescent="0.4">
      <c r="B204" s="227"/>
      <c r="C204" s="229"/>
      <c r="D204" s="128"/>
      <c r="E204" s="29">
        <v>0</v>
      </c>
      <c r="F204" s="129">
        <v>0</v>
      </c>
      <c r="G204" s="129">
        <v>0</v>
      </c>
      <c r="H204" s="129">
        <v>0</v>
      </c>
      <c r="I204" s="129">
        <v>0</v>
      </c>
      <c r="J204" s="129">
        <v>0</v>
      </c>
      <c r="K204" s="129">
        <v>0</v>
      </c>
      <c r="L204" s="129">
        <v>0</v>
      </c>
      <c r="M204" s="129">
        <v>0</v>
      </c>
      <c r="N204" s="129">
        <v>0</v>
      </c>
      <c r="O204" s="129">
        <v>0</v>
      </c>
      <c r="P204" s="129">
        <v>0</v>
      </c>
      <c r="Q204" s="129">
        <v>0</v>
      </c>
      <c r="R204" s="129">
        <v>0</v>
      </c>
      <c r="S204" s="130">
        <v>0</v>
      </c>
      <c r="T204" s="130">
        <v>0</v>
      </c>
      <c r="U204" s="130">
        <v>0</v>
      </c>
      <c r="V204" s="130">
        <v>0</v>
      </c>
      <c r="W204" s="130">
        <v>0</v>
      </c>
      <c r="X204" s="130">
        <v>0</v>
      </c>
      <c r="Y204" s="130">
        <v>0</v>
      </c>
      <c r="Z204" s="130">
        <v>0</v>
      </c>
      <c r="AA204" s="130">
        <v>0</v>
      </c>
      <c r="AB204" s="130">
        <v>0</v>
      </c>
      <c r="AC204" s="130">
        <v>0</v>
      </c>
      <c r="AD204" s="130">
        <v>0</v>
      </c>
      <c r="AE204" s="130">
        <v>0</v>
      </c>
      <c r="AF204" s="130">
        <v>0</v>
      </c>
      <c r="AG204" s="130">
        <v>0</v>
      </c>
      <c r="AH204" s="130">
        <v>0</v>
      </c>
      <c r="AI204" s="130">
        <v>0</v>
      </c>
      <c r="AJ204" s="30">
        <v>0</v>
      </c>
    </row>
    <row r="205" spans="2:36" ht="15" thickTop="1" x14ac:dyDescent="0.35">
      <c r="B205" s="226" t="s">
        <v>214</v>
      </c>
      <c r="C205" s="228" t="s">
        <v>511</v>
      </c>
      <c r="D205" s="125"/>
      <c r="E205" s="252" t="s">
        <v>512</v>
      </c>
      <c r="F205" s="253"/>
      <c r="G205" s="253"/>
      <c r="H205" s="253"/>
      <c r="I205" s="253"/>
      <c r="J205" s="253"/>
      <c r="K205" s="253"/>
      <c r="L205" s="253"/>
      <c r="M205" s="253"/>
      <c r="N205" s="253"/>
      <c r="O205" s="253"/>
      <c r="P205" s="253"/>
      <c r="Q205" s="253"/>
      <c r="R205" s="253"/>
      <c r="S205" s="253"/>
      <c r="T205" s="253"/>
      <c r="U205" s="253" t="s">
        <v>513</v>
      </c>
      <c r="V205" s="253"/>
      <c r="W205" s="253"/>
      <c r="X205" s="253"/>
      <c r="Y205" s="253"/>
      <c r="Z205" s="253"/>
      <c r="AA205" s="253"/>
      <c r="AB205" s="253"/>
      <c r="AC205" s="253"/>
      <c r="AD205" s="253"/>
      <c r="AE205" s="253"/>
      <c r="AF205" s="253"/>
      <c r="AG205" s="253"/>
      <c r="AH205" s="253"/>
      <c r="AI205" s="253"/>
      <c r="AJ205" s="254"/>
    </row>
    <row r="206" spans="2:36" ht="15" thickBot="1" x14ac:dyDescent="0.4">
      <c r="B206" s="227"/>
      <c r="C206" s="229"/>
      <c r="D206" s="128"/>
      <c r="E206" s="33">
        <v>0</v>
      </c>
      <c r="F206" s="130">
        <v>0</v>
      </c>
      <c r="G206" s="130">
        <v>1</v>
      </c>
      <c r="H206" s="130">
        <v>0</v>
      </c>
      <c r="I206" s="130">
        <v>0</v>
      </c>
      <c r="J206" s="130">
        <v>0</v>
      </c>
      <c r="K206" s="130">
        <v>0</v>
      </c>
      <c r="L206" s="130">
        <v>0</v>
      </c>
      <c r="M206" s="130">
        <v>0</v>
      </c>
      <c r="N206" s="130">
        <v>0</v>
      </c>
      <c r="O206" s="130">
        <v>0</v>
      </c>
      <c r="P206" s="130">
        <v>0</v>
      </c>
      <c r="Q206" s="130">
        <v>0</v>
      </c>
      <c r="R206" s="130">
        <v>0</v>
      </c>
      <c r="S206" s="130">
        <v>0</v>
      </c>
      <c r="T206" s="130">
        <v>0</v>
      </c>
      <c r="U206" s="130">
        <v>0</v>
      </c>
      <c r="V206" s="130">
        <v>0</v>
      </c>
      <c r="W206" s="130">
        <v>1</v>
      </c>
      <c r="X206" s="130">
        <v>0</v>
      </c>
      <c r="Y206" s="130">
        <v>0</v>
      </c>
      <c r="Z206" s="130">
        <v>0</v>
      </c>
      <c r="AA206" s="130">
        <v>0</v>
      </c>
      <c r="AB206" s="130">
        <v>0</v>
      </c>
      <c r="AC206" s="130">
        <v>0</v>
      </c>
      <c r="AD206" s="130">
        <v>0</v>
      </c>
      <c r="AE206" s="130">
        <v>0</v>
      </c>
      <c r="AF206" s="130">
        <v>0</v>
      </c>
      <c r="AG206" s="130">
        <v>0</v>
      </c>
      <c r="AH206" s="130">
        <v>0</v>
      </c>
      <c r="AI206" s="130">
        <v>0</v>
      </c>
      <c r="AJ206" s="30">
        <v>0</v>
      </c>
    </row>
    <row r="207" spans="2:36" ht="15" thickTop="1" x14ac:dyDescent="0.35">
      <c r="B207" s="222" t="s">
        <v>215</v>
      </c>
      <c r="C207" s="224" t="s">
        <v>514</v>
      </c>
      <c r="D207" s="117"/>
      <c r="E207" s="15"/>
      <c r="F207" s="67"/>
      <c r="G207" s="250" t="s">
        <v>114</v>
      </c>
      <c r="H207" s="250"/>
      <c r="I207" s="250"/>
      <c r="J207" s="250"/>
      <c r="K207" s="250"/>
      <c r="L207" s="250"/>
      <c r="M207" s="250"/>
      <c r="N207" s="250"/>
      <c r="O207" s="250"/>
      <c r="P207" s="250"/>
      <c r="Q207" s="250"/>
      <c r="R207" s="250"/>
      <c r="S207" s="250"/>
      <c r="T207" s="250"/>
      <c r="U207" s="250"/>
      <c r="V207" s="250"/>
      <c r="W207" s="250"/>
      <c r="X207" s="250"/>
      <c r="Y207" s="250"/>
      <c r="Z207" s="250"/>
      <c r="AA207" s="250"/>
      <c r="AB207" s="250"/>
      <c r="AC207" s="250"/>
      <c r="AD207" s="250"/>
      <c r="AE207" s="250"/>
      <c r="AF207" s="250"/>
      <c r="AG207" s="250"/>
      <c r="AH207" s="250"/>
      <c r="AI207" s="250"/>
      <c r="AJ207" s="251"/>
    </row>
    <row r="208" spans="2:36" ht="15" thickBot="1" x14ac:dyDescent="0.4">
      <c r="B208" s="223"/>
      <c r="C208" s="225"/>
      <c r="D208" s="118"/>
      <c r="E208" s="24">
        <v>0</v>
      </c>
      <c r="F208" s="119">
        <v>0</v>
      </c>
      <c r="G208" s="120">
        <v>0</v>
      </c>
      <c r="H208" s="120">
        <v>0</v>
      </c>
      <c r="I208" s="120">
        <v>1</v>
      </c>
      <c r="J208" s="120">
        <v>0</v>
      </c>
      <c r="K208" s="120">
        <v>0</v>
      </c>
      <c r="L208" s="120">
        <v>0</v>
      </c>
      <c r="M208" s="120">
        <v>0</v>
      </c>
      <c r="N208" s="120">
        <v>0</v>
      </c>
      <c r="O208" s="120">
        <v>0</v>
      </c>
      <c r="P208" s="120">
        <v>0</v>
      </c>
      <c r="Q208" s="120">
        <v>0</v>
      </c>
      <c r="R208" s="120">
        <v>0</v>
      </c>
      <c r="S208" s="120">
        <v>0</v>
      </c>
      <c r="T208" s="120">
        <v>0</v>
      </c>
      <c r="U208" s="120">
        <v>0</v>
      </c>
      <c r="V208" s="120">
        <v>0</v>
      </c>
      <c r="W208" s="120">
        <v>0</v>
      </c>
      <c r="X208" s="120">
        <v>0</v>
      </c>
      <c r="Y208" s="120">
        <v>0</v>
      </c>
      <c r="Z208" s="120">
        <v>0</v>
      </c>
      <c r="AA208" s="120">
        <v>0</v>
      </c>
      <c r="AB208" s="120">
        <v>0</v>
      </c>
      <c r="AC208" s="120">
        <v>0</v>
      </c>
      <c r="AD208" s="120">
        <v>0</v>
      </c>
      <c r="AE208" s="120">
        <v>0</v>
      </c>
      <c r="AF208" s="120">
        <v>0</v>
      </c>
      <c r="AG208" s="120">
        <v>0</v>
      </c>
      <c r="AH208" s="120">
        <v>0</v>
      </c>
      <c r="AI208" s="120">
        <v>0</v>
      </c>
      <c r="AJ208" s="25">
        <v>0</v>
      </c>
    </row>
    <row r="209" spans="2:36" ht="15" thickTop="1" x14ac:dyDescent="0.35">
      <c r="B209" s="222" t="s">
        <v>216</v>
      </c>
      <c r="C209" s="224" t="s">
        <v>515</v>
      </c>
      <c r="D209" s="117"/>
      <c r="E209" s="255" t="s">
        <v>516</v>
      </c>
      <c r="F209" s="250"/>
      <c r="G209" s="250"/>
      <c r="H209" s="250"/>
      <c r="I209" s="250"/>
      <c r="J209" s="250"/>
      <c r="K209" s="250"/>
      <c r="L209" s="250"/>
      <c r="M209" s="250"/>
      <c r="N209" s="250"/>
      <c r="O209" s="250"/>
      <c r="P209" s="250"/>
      <c r="Q209" s="250"/>
      <c r="R209" s="250"/>
      <c r="S209" s="250"/>
      <c r="T209" s="250"/>
      <c r="U209" s="250"/>
      <c r="V209" s="250"/>
      <c r="W209" s="250"/>
      <c r="X209" s="250"/>
      <c r="Y209" s="250"/>
      <c r="Z209" s="250"/>
      <c r="AA209" s="250"/>
      <c r="AB209" s="250"/>
      <c r="AC209" s="250"/>
      <c r="AD209" s="250"/>
      <c r="AE209" s="250"/>
      <c r="AF209" s="250"/>
      <c r="AG209" s="250"/>
      <c r="AH209" s="250" t="s">
        <v>517</v>
      </c>
      <c r="AI209" s="250"/>
      <c r="AJ209" s="251"/>
    </row>
    <row r="210" spans="2:36" ht="15" thickBot="1" x14ac:dyDescent="0.4">
      <c r="B210" s="223"/>
      <c r="C210" s="225"/>
      <c r="D210" s="118"/>
      <c r="E210" s="14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c r="X210" s="120">
        <v>0</v>
      </c>
      <c r="Y210" s="120">
        <v>0</v>
      </c>
      <c r="Z210" s="120">
        <v>0</v>
      </c>
      <c r="AA210" s="120">
        <v>0</v>
      </c>
      <c r="AB210" s="120">
        <v>0</v>
      </c>
      <c r="AC210" s="120">
        <v>0</v>
      </c>
      <c r="AD210" s="120">
        <v>0</v>
      </c>
      <c r="AE210" s="120">
        <v>0</v>
      </c>
      <c r="AF210" s="120">
        <v>0</v>
      </c>
      <c r="AG210" s="120">
        <v>0</v>
      </c>
      <c r="AH210" s="120">
        <v>0</v>
      </c>
      <c r="AI210" s="120">
        <v>0</v>
      </c>
      <c r="AJ210" s="25">
        <v>0</v>
      </c>
    </row>
    <row r="211" spans="2:36" ht="15" thickTop="1" x14ac:dyDescent="0.35">
      <c r="B211" s="226" t="s">
        <v>217</v>
      </c>
      <c r="C211" s="228" t="s">
        <v>518</v>
      </c>
      <c r="D211" s="125"/>
      <c r="E211" s="252" t="s">
        <v>519</v>
      </c>
      <c r="F211" s="253"/>
      <c r="G211" s="253"/>
      <c r="H211" s="253"/>
      <c r="I211" s="253"/>
      <c r="J211" s="253"/>
      <c r="K211" s="253"/>
      <c r="L211" s="253"/>
      <c r="M211" s="253"/>
      <c r="N211" s="253"/>
      <c r="O211" s="253"/>
      <c r="P211" s="253"/>
      <c r="Q211" s="253"/>
      <c r="R211" s="253"/>
      <c r="S211" s="253"/>
      <c r="T211" s="253"/>
      <c r="U211" s="253"/>
      <c r="V211" s="253"/>
      <c r="W211" s="253"/>
      <c r="X211" s="253"/>
      <c r="Y211" s="253"/>
      <c r="Z211" s="253"/>
      <c r="AA211" s="253"/>
      <c r="AB211" s="253"/>
      <c r="AC211" s="253"/>
      <c r="AD211" s="253"/>
      <c r="AE211" s="253"/>
      <c r="AF211" s="253"/>
      <c r="AG211" s="253"/>
      <c r="AH211" s="253"/>
      <c r="AI211" s="253"/>
      <c r="AJ211" s="254"/>
    </row>
    <row r="212" spans="2:36" ht="15" thickBot="1" x14ac:dyDescent="0.4">
      <c r="B212" s="227"/>
      <c r="C212" s="229"/>
      <c r="D212" s="128"/>
      <c r="E212" s="33">
        <v>1</v>
      </c>
      <c r="F212" s="130">
        <v>0</v>
      </c>
      <c r="G212" s="130">
        <v>0</v>
      </c>
      <c r="H212" s="130">
        <v>1</v>
      </c>
      <c r="I212" s="130">
        <v>1</v>
      </c>
      <c r="J212" s="130">
        <v>0</v>
      </c>
      <c r="K212" s="130">
        <v>1</v>
      </c>
      <c r="L212" s="130">
        <v>0</v>
      </c>
      <c r="M212" s="130">
        <v>0</v>
      </c>
      <c r="N212" s="130">
        <v>0</v>
      </c>
      <c r="O212" s="130">
        <v>1</v>
      </c>
      <c r="P212" s="130">
        <v>1</v>
      </c>
      <c r="Q212" s="130">
        <v>0</v>
      </c>
      <c r="R212" s="130">
        <v>1</v>
      </c>
      <c r="S212" s="130">
        <v>0</v>
      </c>
      <c r="T212" s="130">
        <v>1</v>
      </c>
      <c r="U212" s="130">
        <v>0</v>
      </c>
      <c r="V212" s="130">
        <v>0</v>
      </c>
      <c r="W212" s="130">
        <v>1</v>
      </c>
      <c r="X212" s="130">
        <v>1</v>
      </c>
      <c r="Y212" s="130">
        <v>1</v>
      </c>
      <c r="Z212" s="130">
        <v>0</v>
      </c>
      <c r="AA212" s="130">
        <v>1</v>
      </c>
      <c r="AB212" s="130">
        <v>0</v>
      </c>
      <c r="AC212" s="130">
        <v>0</v>
      </c>
      <c r="AD212" s="130">
        <v>0</v>
      </c>
      <c r="AE212" s="130">
        <v>0</v>
      </c>
      <c r="AF212" s="130">
        <v>1</v>
      </c>
      <c r="AG212" s="130">
        <v>0</v>
      </c>
      <c r="AH212" s="130">
        <v>0</v>
      </c>
      <c r="AI212" s="130">
        <v>0</v>
      </c>
      <c r="AJ212" s="30">
        <v>0</v>
      </c>
    </row>
    <row r="213" spans="2:36" ht="15" thickTop="1" x14ac:dyDescent="0.35">
      <c r="B213" s="226" t="s">
        <v>218</v>
      </c>
      <c r="C213" s="228" t="s">
        <v>520</v>
      </c>
      <c r="D213" s="125"/>
      <c r="E213" s="252" t="s">
        <v>521</v>
      </c>
      <c r="F213" s="253"/>
      <c r="G213" s="253"/>
      <c r="H213" s="253"/>
      <c r="I213" s="253"/>
      <c r="J213" s="253"/>
      <c r="K213" s="253"/>
      <c r="L213" s="253"/>
      <c r="M213" s="253"/>
      <c r="N213" s="253"/>
      <c r="O213" s="253"/>
      <c r="P213" s="253"/>
      <c r="Q213" s="253"/>
      <c r="R213" s="253"/>
      <c r="S213" s="253"/>
      <c r="T213" s="253"/>
      <c r="U213" s="253"/>
      <c r="V213" s="253"/>
      <c r="W213" s="253"/>
      <c r="X213" s="253"/>
      <c r="Y213" s="253"/>
      <c r="Z213" s="253"/>
      <c r="AA213" s="253"/>
      <c r="AB213" s="253"/>
      <c r="AC213" s="253"/>
      <c r="AD213" s="253"/>
      <c r="AE213" s="253"/>
      <c r="AF213" s="253"/>
      <c r="AG213" s="253"/>
      <c r="AH213" s="253"/>
      <c r="AI213" s="253"/>
      <c r="AJ213" s="254"/>
    </row>
    <row r="214" spans="2:36" ht="15" thickBot="1" x14ac:dyDescent="0.4">
      <c r="B214" s="227"/>
      <c r="C214" s="229"/>
      <c r="D214" s="128"/>
      <c r="E214" s="33">
        <v>0</v>
      </c>
      <c r="F214" s="130">
        <v>0</v>
      </c>
      <c r="G214" s="130">
        <v>0</v>
      </c>
      <c r="H214" s="130">
        <v>0</v>
      </c>
      <c r="I214" s="130">
        <v>0</v>
      </c>
      <c r="J214" s="130">
        <v>0</v>
      </c>
      <c r="K214" s="130">
        <v>0</v>
      </c>
      <c r="L214" s="130">
        <v>0</v>
      </c>
      <c r="M214" s="130">
        <v>0</v>
      </c>
      <c r="N214" s="130">
        <v>0</v>
      </c>
      <c r="O214" s="130">
        <v>0</v>
      </c>
      <c r="P214" s="130">
        <v>0</v>
      </c>
      <c r="Q214" s="130">
        <v>0</v>
      </c>
      <c r="R214" s="130">
        <v>0</v>
      </c>
      <c r="S214" s="130">
        <v>0</v>
      </c>
      <c r="T214" s="130">
        <v>0</v>
      </c>
      <c r="U214" s="130">
        <v>0</v>
      </c>
      <c r="V214" s="130">
        <v>0</v>
      </c>
      <c r="W214" s="130">
        <v>0</v>
      </c>
      <c r="X214" s="130">
        <v>0</v>
      </c>
      <c r="Y214" s="130">
        <v>0</v>
      </c>
      <c r="Z214" s="130">
        <v>0</v>
      </c>
      <c r="AA214" s="130">
        <v>0</v>
      </c>
      <c r="AB214" s="130">
        <v>0</v>
      </c>
      <c r="AC214" s="130">
        <v>0</v>
      </c>
      <c r="AD214" s="130">
        <v>0</v>
      </c>
      <c r="AE214" s="130">
        <v>0</v>
      </c>
      <c r="AF214" s="130">
        <v>0</v>
      </c>
      <c r="AG214" s="130">
        <v>0</v>
      </c>
      <c r="AH214" s="130">
        <v>0</v>
      </c>
      <c r="AI214" s="130">
        <v>0</v>
      </c>
      <c r="AJ214" s="30">
        <v>0</v>
      </c>
    </row>
    <row r="215" spans="2:36" ht="15" thickTop="1" x14ac:dyDescent="0.35">
      <c r="B215" s="226" t="s">
        <v>219</v>
      </c>
      <c r="C215" s="228" t="s">
        <v>522</v>
      </c>
      <c r="D215" s="125"/>
      <c r="E215" s="28"/>
      <c r="F215" s="126"/>
      <c r="G215" s="126"/>
      <c r="H215" s="126"/>
      <c r="I215" s="126"/>
      <c r="J215" s="126"/>
      <c r="K215" s="126"/>
      <c r="L215" s="126"/>
      <c r="M215" s="126"/>
      <c r="N215" s="126"/>
      <c r="O215" s="126"/>
      <c r="P215" s="126"/>
      <c r="Q215" s="126"/>
      <c r="R215" s="126"/>
      <c r="S215" s="126"/>
      <c r="T215" s="126"/>
      <c r="U215" s="253" t="s">
        <v>523</v>
      </c>
      <c r="V215" s="253"/>
      <c r="W215" s="253"/>
      <c r="X215" s="253"/>
      <c r="Y215" s="253"/>
      <c r="Z215" s="253"/>
      <c r="AA215" s="253"/>
      <c r="AB215" s="253"/>
      <c r="AC215" s="253"/>
      <c r="AD215" s="253"/>
      <c r="AE215" s="253"/>
      <c r="AF215" s="253"/>
      <c r="AG215" s="253"/>
      <c r="AH215" s="253"/>
      <c r="AI215" s="253"/>
      <c r="AJ215" s="254"/>
    </row>
    <row r="216" spans="2:36" ht="15" thickBot="1" x14ac:dyDescent="0.4">
      <c r="B216" s="227"/>
      <c r="C216" s="229"/>
      <c r="D216" s="128"/>
      <c r="E216" s="29">
        <v>0</v>
      </c>
      <c r="F216" s="129">
        <v>0</v>
      </c>
      <c r="G216" s="129">
        <v>0</v>
      </c>
      <c r="H216" s="129">
        <v>0</v>
      </c>
      <c r="I216" s="129">
        <v>0</v>
      </c>
      <c r="J216" s="129">
        <v>0</v>
      </c>
      <c r="K216" s="129">
        <v>0</v>
      </c>
      <c r="L216" s="129">
        <v>0</v>
      </c>
      <c r="M216" s="129">
        <v>0</v>
      </c>
      <c r="N216" s="129">
        <v>0</v>
      </c>
      <c r="O216" s="129">
        <v>0</v>
      </c>
      <c r="P216" s="129">
        <v>0</v>
      </c>
      <c r="Q216" s="129">
        <v>0</v>
      </c>
      <c r="R216" s="129">
        <v>0</v>
      </c>
      <c r="S216" s="129">
        <v>0</v>
      </c>
      <c r="T216" s="129">
        <v>0</v>
      </c>
      <c r="U216" s="130">
        <v>0</v>
      </c>
      <c r="V216" s="130">
        <v>0</v>
      </c>
      <c r="W216" s="130">
        <v>0</v>
      </c>
      <c r="X216" s="130">
        <v>0</v>
      </c>
      <c r="Y216" s="130">
        <v>0</v>
      </c>
      <c r="Z216" s="130">
        <v>0</v>
      </c>
      <c r="AA216" s="130">
        <v>0</v>
      </c>
      <c r="AB216" s="130">
        <v>0</v>
      </c>
      <c r="AC216" s="130">
        <v>0</v>
      </c>
      <c r="AD216" s="130">
        <v>0</v>
      </c>
      <c r="AE216" s="130">
        <v>0</v>
      </c>
      <c r="AF216" s="130">
        <v>0</v>
      </c>
      <c r="AG216" s="130">
        <v>0</v>
      </c>
      <c r="AH216" s="130">
        <v>0</v>
      </c>
      <c r="AI216" s="130">
        <v>0</v>
      </c>
      <c r="AJ216" s="30">
        <v>0</v>
      </c>
    </row>
    <row r="217" spans="2:36" ht="15" thickTop="1" x14ac:dyDescent="0.35">
      <c r="B217" s="226" t="s">
        <v>220</v>
      </c>
      <c r="C217" s="228" t="s">
        <v>524</v>
      </c>
      <c r="D217" s="125"/>
      <c r="E217" s="28"/>
      <c r="F217" s="126"/>
      <c r="G217" s="126"/>
      <c r="H217" s="126"/>
      <c r="I217" s="126"/>
      <c r="J217" s="126"/>
      <c r="K217" s="126"/>
      <c r="L217" s="126"/>
      <c r="M217" s="126"/>
      <c r="N217" s="126"/>
      <c r="O217" s="126"/>
      <c r="P217" s="126"/>
      <c r="Q217" s="126"/>
      <c r="R217" s="126"/>
      <c r="S217" s="126"/>
      <c r="T217" s="127" t="s">
        <v>525</v>
      </c>
      <c r="U217" s="253" t="s">
        <v>526</v>
      </c>
      <c r="V217" s="253"/>
      <c r="W217" s="253"/>
      <c r="X217" s="253"/>
      <c r="Y217" s="253"/>
      <c r="Z217" s="253"/>
      <c r="AA217" s="253"/>
      <c r="AB217" s="253"/>
      <c r="AC217" s="253"/>
      <c r="AD217" s="253"/>
      <c r="AE217" s="253"/>
      <c r="AF217" s="253"/>
      <c r="AG217" s="253"/>
      <c r="AH217" s="253"/>
      <c r="AI217" s="253"/>
      <c r="AJ217" s="254"/>
    </row>
    <row r="218" spans="2:36" ht="15" thickBot="1" x14ac:dyDescent="0.4">
      <c r="B218" s="227"/>
      <c r="C218" s="229"/>
      <c r="D218" s="128"/>
      <c r="E218" s="29">
        <v>0</v>
      </c>
      <c r="F218" s="129">
        <v>0</v>
      </c>
      <c r="G218" s="129">
        <v>0</v>
      </c>
      <c r="H218" s="129">
        <v>0</v>
      </c>
      <c r="I218" s="129">
        <v>0</v>
      </c>
      <c r="J218" s="129">
        <v>0</v>
      </c>
      <c r="K218" s="129">
        <v>0</v>
      </c>
      <c r="L218" s="129">
        <v>0</v>
      </c>
      <c r="M218" s="129">
        <v>0</v>
      </c>
      <c r="N218" s="129">
        <v>0</v>
      </c>
      <c r="O218" s="129">
        <v>0</v>
      </c>
      <c r="P218" s="129">
        <v>0</v>
      </c>
      <c r="Q218" s="129">
        <v>0</v>
      </c>
      <c r="R218" s="129">
        <v>0</v>
      </c>
      <c r="S218" s="129">
        <v>0</v>
      </c>
      <c r="T218" s="130">
        <v>0</v>
      </c>
      <c r="U218" s="130">
        <v>0</v>
      </c>
      <c r="V218" s="130">
        <v>0</v>
      </c>
      <c r="W218" s="130">
        <v>1</v>
      </c>
      <c r="X218" s="130">
        <v>0</v>
      </c>
      <c r="Y218" s="130">
        <v>0</v>
      </c>
      <c r="Z218" s="130">
        <v>0</v>
      </c>
      <c r="AA218" s="130">
        <v>0</v>
      </c>
      <c r="AB218" s="130">
        <v>0</v>
      </c>
      <c r="AC218" s="130">
        <v>0</v>
      </c>
      <c r="AD218" s="130">
        <v>0</v>
      </c>
      <c r="AE218" s="130">
        <v>0</v>
      </c>
      <c r="AF218" s="130">
        <v>0</v>
      </c>
      <c r="AG218" s="130">
        <v>0</v>
      </c>
      <c r="AH218" s="130">
        <v>0</v>
      </c>
      <c r="AI218" s="130">
        <v>0</v>
      </c>
      <c r="AJ218" s="30">
        <v>0</v>
      </c>
    </row>
    <row r="219" spans="2:36" ht="15" thickTop="1" x14ac:dyDescent="0.35">
      <c r="B219" s="216" t="s">
        <v>221</v>
      </c>
      <c r="C219" s="218" t="s">
        <v>47</v>
      </c>
      <c r="D219" s="105"/>
      <c r="E219" s="13"/>
      <c r="F219" s="63"/>
      <c r="G219" s="63"/>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c r="AE219" s="63"/>
      <c r="AF219" s="63"/>
      <c r="AG219" s="63"/>
      <c r="AH219" s="63"/>
      <c r="AI219" s="63"/>
      <c r="AJ219" s="5"/>
    </row>
    <row r="220" spans="2:36" ht="15" thickBot="1" x14ac:dyDescent="0.4">
      <c r="B220" s="220"/>
      <c r="C220" s="221"/>
      <c r="D220" s="106"/>
      <c r="E220" s="19">
        <v>0</v>
      </c>
      <c r="F220" s="68">
        <v>0</v>
      </c>
      <c r="G220" s="68">
        <v>0</v>
      </c>
      <c r="H220" s="68">
        <v>0</v>
      </c>
      <c r="I220" s="68">
        <v>0</v>
      </c>
      <c r="J220" s="68">
        <v>0</v>
      </c>
      <c r="K220" s="68">
        <v>0</v>
      </c>
      <c r="L220" s="68">
        <v>0</v>
      </c>
      <c r="M220" s="68">
        <v>0</v>
      </c>
      <c r="N220" s="68">
        <v>0</v>
      </c>
      <c r="O220" s="68">
        <v>0</v>
      </c>
      <c r="P220" s="68">
        <v>0</v>
      </c>
      <c r="Q220" s="68">
        <v>0</v>
      </c>
      <c r="R220" s="68">
        <v>0</v>
      </c>
      <c r="S220" s="68">
        <v>0</v>
      </c>
      <c r="T220" s="68">
        <v>0</v>
      </c>
      <c r="U220" s="68">
        <v>0</v>
      </c>
      <c r="V220" s="68">
        <v>0</v>
      </c>
      <c r="W220" s="68">
        <v>0</v>
      </c>
      <c r="X220" s="68">
        <v>0</v>
      </c>
      <c r="Y220" s="68">
        <v>0</v>
      </c>
      <c r="Z220" s="68">
        <v>0</v>
      </c>
      <c r="AA220" s="68">
        <v>0</v>
      </c>
      <c r="AB220" s="68">
        <v>0</v>
      </c>
      <c r="AC220" s="68">
        <v>0</v>
      </c>
      <c r="AD220" s="68">
        <v>0</v>
      </c>
      <c r="AE220" s="68">
        <v>0</v>
      </c>
      <c r="AF220" s="68">
        <v>0</v>
      </c>
      <c r="AG220" s="68">
        <v>0</v>
      </c>
      <c r="AH220" s="68">
        <v>0</v>
      </c>
      <c r="AI220" s="68">
        <v>0</v>
      </c>
      <c r="AJ220" s="12">
        <v>0</v>
      </c>
    </row>
    <row r="221" spans="2:36" ht="15" thickTop="1" x14ac:dyDescent="0.35">
      <c r="B221" s="216" t="s">
        <v>222</v>
      </c>
      <c r="C221" s="218" t="s">
        <v>47</v>
      </c>
      <c r="D221" s="105"/>
      <c r="E221" s="13"/>
      <c r="F221" s="63"/>
      <c r="G221" s="63"/>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c r="AE221" s="63"/>
      <c r="AF221" s="63"/>
      <c r="AG221" s="63"/>
      <c r="AH221" s="63"/>
      <c r="AI221" s="63"/>
      <c r="AJ221" s="5"/>
    </row>
    <row r="222" spans="2:36" ht="15" thickBot="1" x14ac:dyDescent="0.4">
      <c r="B222" s="220"/>
      <c r="C222" s="221"/>
      <c r="D222" s="106"/>
      <c r="E222" s="19">
        <v>0</v>
      </c>
      <c r="F222" s="68">
        <v>0</v>
      </c>
      <c r="G222" s="68">
        <v>0</v>
      </c>
      <c r="H222" s="68">
        <v>0</v>
      </c>
      <c r="I222" s="68">
        <v>0</v>
      </c>
      <c r="J222" s="68">
        <v>0</v>
      </c>
      <c r="K222" s="68">
        <v>0</v>
      </c>
      <c r="L222" s="68">
        <v>0</v>
      </c>
      <c r="M222" s="68">
        <v>0</v>
      </c>
      <c r="N222" s="68">
        <v>0</v>
      </c>
      <c r="O222" s="68">
        <v>0</v>
      </c>
      <c r="P222" s="68">
        <v>0</v>
      </c>
      <c r="Q222" s="68">
        <v>0</v>
      </c>
      <c r="R222" s="68">
        <v>0</v>
      </c>
      <c r="S222" s="68">
        <v>0</v>
      </c>
      <c r="T222" s="68">
        <v>0</v>
      </c>
      <c r="U222" s="68">
        <v>0</v>
      </c>
      <c r="V222" s="68">
        <v>0</v>
      </c>
      <c r="W222" s="68">
        <v>0</v>
      </c>
      <c r="X222" s="68">
        <v>0</v>
      </c>
      <c r="Y222" s="68">
        <v>0</v>
      </c>
      <c r="Z222" s="68">
        <v>0</v>
      </c>
      <c r="AA222" s="68">
        <v>0</v>
      </c>
      <c r="AB222" s="68">
        <v>0</v>
      </c>
      <c r="AC222" s="68">
        <v>0</v>
      </c>
      <c r="AD222" s="68">
        <v>0</v>
      </c>
      <c r="AE222" s="68">
        <v>0</v>
      </c>
      <c r="AF222" s="68">
        <v>0</v>
      </c>
      <c r="AG222" s="68">
        <v>0</v>
      </c>
      <c r="AH222" s="68">
        <v>0</v>
      </c>
      <c r="AI222" s="68">
        <v>0</v>
      </c>
      <c r="AJ222" s="12">
        <v>0</v>
      </c>
    </row>
    <row r="223" spans="2:36" ht="15" thickTop="1" x14ac:dyDescent="0.35">
      <c r="B223" s="216" t="s">
        <v>223</v>
      </c>
      <c r="C223" s="218" t="s">
        <v>47</v>
      </c>
      <c r="D223" s="105"/>
      <c r="E223" s="13"/>
      <c r="F223" s="63"/>
      <c r="G223" s="63"/>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c r="AE223" s="63"/>
      <c r="AF223" s="63"/>
      <c r="AG223" s="63"/>
      <c r="AH223" s="63"/>
      <c r="AI223" s="63"/>
      <c r="AJ223" s="5"/>
    </row>
    <row r="224" spans="2:36" ht="15" thickBot="1" x14ac:dyDescent="0.4">
      <c r="B224" s="220"/>
      <c r="C224" s="221"/>
      <c r="D224" s="106"/>
      <c r="E224" s="19">
        <v>0</v>
      </c>
      <c r="F224" s="68">
        <v>0</v>
      </c>
      <c r="G224" s="68">
        <v>0</v>
      </c>
      <c r="H224" s="68">
        <v>0</v>
      </c>
      <c r="I224" s="68">
        <v>0</v>
      </c>
      <c r="J224" s="68">
        <v>0</v>
      </c>
      <c r="K224" s="68">
        <v>0</v>
      </c>
      <c r="L224" s="68">
        <v>0</v>
      </c>
      <c r="M224" s="68">
        <v>0</v>
      </c>
      <c r="N224" s="68">
        <v>0</v>
      </c>
      <c r="O224" s="68">
        <v>0</v>
      </c>
      <c r="P224" s="68">
        <v>0</v>
      </c>
      <c r="Q224" s="68">
        <v>0</v>
      </c>
      <c r="R224" s="68">
        <v>0</v>
      </c>
      <c r="S224" s="68">
        <v>0</v>
      </c>
      <c r="T224" s="68">
        <v>0</v>
      </c>
      <c r="U224" s="68">
        <v>0</v>
      </c>
      <c r="V224" s="68">
        <v>0</v>
      </c>
      <c r="W224" s="68">
        <v>0</v>
      </c>
      <c r="X224" s="68">
        <v>0</v>
      </c>
      <c r="Y224" s="68">
        <v>0</v>
      </c>
      <c r="Z224" s="68">
        <v>0</v>
      </c>
      <c r="AA224" s="68">
        <v>0</v>
      </c>
      <c r="AB224" s="68">
        <v>0</v>
      </c>
      <c r="AC224" s="68">
        <v>0</v>
      </c>
      <c r="AD224" s="68">
        <v>0</v>
      </c>
      <c r="AE224" s="68">
        <v>0</v>
      </c>
      <c r="AF224" s="68">
        <v>0</v>
      </c>
      <c r="AG224" s="68">
        <v>0</v>
      </c>
      <c r="AH224" s="68">
        <v>0</v>
      </c>
      <c r="AI224" s="68">
        <v>0</v>
      </c>
      <c r="AJ224" s="12">
        <v>0</v>
      </c>
    </row>
    <row r="225" spans="2:36" ht="15" thickTop="1" x14ac:dyDescent="0.35">
      <c r="B225" s="216" t="s">
        <v>224</v>
      </c>
      <c r="C225" s="218" t="s">
        <v>47</v>
      </c>
      <c r="D225" s="105"/>
      <c r="E225" s="13"/>
      <c r="F225" s="63"/>
      <c r="G225" s="63"/>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c r="AE225" s="63"/>
      <c r="AF225" s="63"/>
      <c r="AG225" s="63"/>
      <c r="AH225" s="63"/>
      <c r="AI225" s="63"/>
      <c r="AJ225" s="5"/>
    </row>
    <row r="226" spans="2:36" ht="15" thickBot="1" x14ac:dyDescent="0.4">
      <c r="B226" s="220"/>
      <c r="C226" s="221"/>
      <c r="D226" s="106"/>
      <c r="E226" s="19">
        <v>0</v>
      </c>
      <c r="F226" s="68">
        <v>0</v>
      </c>
      <c r="G226" s="68">
        <v>0</v>
      </c>
      <c r="H226" s="68">
        <v>0</v>
      </c>
      <c r="I226" s="68">
        <v>0</v>
      </c>
      <c r="J226" s="68">
        <v>0</v>
      </c>
      <c r="K226" s="68">
        <v>0</v>
      </c>
      <c r="L226" s="68">
        <v>0</v>
      </c>
      <c r="M226" s="68">
        <v>0</v>
      </c>
      <c r="N226" s="68">
        <v>0</v>
      </c>
      <c r="O226" s="68">
        <v>0</v>
      </c>
      <c r="P226" s="68">
        <v>0</v>
      </c>
      <c r="Q226" s="68">
        <v>0</v>
      </c>
      <c r="R226" s="68">
        <v>0</v>
      </c>
      <c r="S226" s="68">
        <v>0</v>
      </c>
      <c r="T226" s="68">
        <v>0</v>
      </c>
      <c r="U226" s="68">
        <v>0</v>
      </c>
      <c r="V226" s="68">
        <v>0</v>
      </c>
      <c r="W226" s="68">
        <v>0</v>
      </c>
      <c r="X226" s="68">
        <v>0</v>
      </c>
      <c r="Y226" s="68">
        <v>0</v>
      </c>
      <c r="Z226" s="68">
        <v>0</v>
      </c>
      <c r="AA226" s="68">
        <v>0</v>
      </c>
      <c r="AB226" s="68">
        <v>0</v>
      </c>
      <c r="AC226" s="68">
        <v>0</v>
      </c>
      <c r="AD226" s="68">
        <v>0</v>
      </c>
      <c r="AE226" s="68">
        <v>0</v>
      </c>
      <c r="AF226" s="68">
        <v>0</v>
      </c>
      <c r="AG226" s="68">
        <v>0</v>
      </c>
      <c r="AH226" s="68">
        <v>0</v>
      </c>
      <c r="AI226" s="68">
        <v>0</v>
      </c>
      <c r="AJ226" s="12">
        <v>0</v>
      </c>
    </row>
    <row r="227" spans="2:36" ht="15" thickTop="1" x14ac:dyDescent="0.35">
      <c r="B227" s="216" t="s">
        <v>225</v>
      </c>
      <c r="C227" s="218" t="s">
        <v>47</v>
      </c>
      <c r="D227" s="105"/>
      <c r="E227" s="13"/>
      <c r="F227" s="63"/>
      <c r="G227" s="63"/>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5"/>
    </row>
    <row r="228" spans="2:36" ht="15" thickBot="1" x14ac:dyDescent="0.4">
      <c r="B228" s="220"/>
      <c r="C228" s="221"/>
      <c r="D228" s="106"/>
      <c r="E228" s="19">
        <v>0</v>
      </c>
      <c r="F228" s="68">
        <v>0</v>
      </c>
      <c r="G228" s="68">
        <v>0</v>
      </c>
      <c r="H228" s="68">
        <v>0</v>
      </c>
      <c r="I228" s="68">
        <v>0</v>
      </c>
      <c r="J228" s="68">
        <v>0</v>
      </c>
      <c r="K228" s="68">
        <v>0</v>
      </c>
      <c r="L228" s="68">
        <v>0</v>
      </c>
      <c r="M228" s="68">
        <v>0</v>
      </c>
      <c r="N228" s="68">
        <v>0</v>
      </c>
      <c r="O228" s="68">
        <v>0</v>
      </c>
      <c r="P228" s="68">
        <v>0</v>
      </c>
      <c r="Q228" s="68">
        <v>0</v>
      </c>
      <c r="R228" s="68">
        <v>0</v>
      </c>
      <c r="S228" s="68">
        <v>0</v>
      </c>
      <c r="T228" s="68">
        <v>0</v>
      </c>
      <c r="U228" s="68">
        <v>0</v>
      </c>
      <c r="V228" s="68">
        <v>0</v>
      </c>
      <c r="W228" s="68">
        <v>0</v>
      </c>
      <c r="X228" s="68">
        <v>0</v>
      </c>
      <c r="Y228" s="68">
        <v>0</v>
      </c>
      <c r="Z228" s="68">
        <v>0</v>
      </c>
      <c r="AA228" s="68">
        <v>0</v>
      </c>
      <c r="AB228" s="68">
        <v>0</v>
      </c>
      <c r="AC228" s="68">
        <v>0</v>
      </c>
      <c r="AD228" s="68">
        <v>0</v>
      </c>
      <c r="AE228" s="68">
        <v>0</v>
      </c>
      <c r="AF228" s="68">
        <v>0</v>
      </c>
      <c r="AG228" s="68">
        <v>0</v>
      </c>
      <c r="AH228" s="68">
        <v>0</v>
      </c>
      <c r="AI228" s="68">
        <v>0</v>
      </c>
      <c r="AJ228" s="12">
        <v>0</v>
      </c>
    </row>
    <row r="229" spans="2:36" ht="15" thickTop="1" x14ac:dyDescent="0.35">
      <c r="B229" s="216" t="s">
        <v>226</v>
      </c>
      <c r="C229" s="218" t="s">
        <v>47</v>
      </c>
      <c r="D229" s="105"/>
      <c r="E229" s="13"/>
      <c r="F229" s="63"/>
      <c r="G229" s="63"/>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c r="AE229" s="63"/>
      <c r="AF229" s="63"/>
      <c r="AG229" s="63"/>
      <c r="AH229" s="63"/>
      <c r="AI229" s="63"/>
      <c r="AJ229" s="5"/>
    </row>
    <row r="230" spans="2:36" ht="15" thickBot="1" x14ac:dyDescent="0.4">
      <c r="B230" s="220"/>
      <c r="C230" s="221"/>
      <c r="D230" s="106"/>
      <c r="E230" s="19">
        <v>0</v>
      </c>
      <c r="F230" s="68">
        <v>0</v>
      </c>
      <c r="G230" s="68">
        <v>0</v>
      </c>
      <c r="H230" s="68">
        <v>0</v>
      </c>
      <c r="I230" s="68">
        <v>0</v>
      </c>
      <c r="J230" s="68">
        <v>0</v>
      </c>
      <c r="K230" s="68">
        <v>0</v>
      </c>
      <c r="L230" s="68">
        <v>0</v>
      </c>
      <c r="M230" s="68">
        <v>0</v>
      </c>
      <c r="N230" s="68">
        <v>0</v>
      </c>
      <c r="O230" s="68">
        <v>0</v>
      </c>
      <c r="P230" s="68">
        <v>0</v>
      </c>
      <c r="Q230" s="68">
        <v>0</v>
      </c>
      <c r="R230" s="68">
        <v>0</v>
      </c>
      <c r="S230" s="68">
        <v>0</v>
      </c>
      <c r="T230" s="68">
        <v>0</v>
      </c>
      <c r="U230" s="68">
        <v>0</v>
      </c>
      <c r="V230" s="68">
        <v>0</v>
      </c>
      <c r="W230" s="68">
        <v>0</v>
      </c>
      <c r="X230" s="68">
        <v>0</v>
      </c>
      <c r="Y230" s="68">
        <v>0</v>
      </c>
      <c r="Z230" s="68">
        <v>0</v>
      </c>
      <c r="AA230" s="68">
        <v>0</v>
      </c>
      <c r="AB230" s="68">
        <v>0</v>
      </c>
      <c r="AC230" s="68">
        <v>0</v>
      </c>
      <c r="AD230" s="68">
        <v>0</v>
      </c>
      <c r="AE230" s="68">
        <v>0</v>
      </c>
      <c r="AF230" s="68">
        <v>0</v>
      </c>
      <c r="AG230" s="68">
        <v>0</v>
      </c>
      <c r="AH230" s="68">
        <v>0</v>
      </c>
      <c r="AI230" s="68">
        <v>0</v>
      </c>
      <c r="AJ230" s="12">
        <v>0</v>
      </c>
    </row>
    <row r="231" spans="2:36" ht="15" thickTop="1" x14ac:dyDescent="0.35">
      <c r="B231" s="222" t="s">
        <v>227</v>
      </c>
      <c r="C231" s="224" t="s">
        <v>527</v>
      </c>
      <c r="D231" s="117"/>
      <c r="E231" s="141" t="s">
        <v>49</v>
      </c>
      <c r="F231" s="250" t="s">
        <v>528</v>
      </c>
      <c r="G231" s="250"/>
      <c r="H231" s="250"/>
      <c r="I231" s="250"/>
      <c r="J231" s="250"/>
      <c r="K231" s="250"/>
      <c r="L231" s="250"/>
      <c r="M231" s="250"/>
      <c r="N231" s="250"/>
      <c r="O231" s="250"/>
      <c r="P231" s="250"/>
      <c r="Q231" s="250"/>
      <c r="R231" s="250"/>
      <c r="S231" s="250"/>
      <c r="T231" s="250"/>
      <c r="U231" s="250"/>
      <c r="V231" s="250"/>
      <c r="W231" s="250"/>
      <c r="X231" s="250"/>
      <c r="Y231" s="250"/>
      <c r="Z231" s="250"/>
      <c r="AA231" s="250"/>
      <c r="AB231" s="250"/>
      <c r="AC231" s="250"/>
      <c r="AD231" s="250"/>
      <c r="AE231" s="250"/>
      <c r="AF231" s="250"/>
      <c r="AG231" s="250"/>
      <c r="AH231" s="250"/>
      <c r="AI231" s="250"/>
      <c r="AJ231" s="251"/>
    </row>
    <row r="232" spans="2:36" ht="15" thickBot="1" x14ac:dyDescent="0.4">
      <c r="B232" s="223"/>
      <c r="C232" s="225"/>
      <c r="D232" s="118"/>
      <c r="E232" s="140"/>
      <c r="F232" s="120"/>
      <c r="G232" s="120"/>
      <c r="H232" s="120"/>
      <c r="I232" s="120"/>
      <c r="J232" s="120"/>
      <c r="K232" s="120"/>
      <c r="L232" s="120"/>
      <c r="M232" s="120"/>
      <c r="N232" s="120"/>
      <c r="O232" s="120"/>
      <c r="P232" s="120"/>
      <c r="Q232" s="120"/>
      <c r="R232" s="120"/>
      <c r="S232" s="120"/>
      <c r="T232" s="120"/>
      <c r="U232" s="120"/>
      <c r="V232" s="120"/>
      <c r="W232" s="120"/>
      <c r="X232" s="120"/>
      <c r="Y232" s="120"/>
      <c r="Z232" s="120"/>
      <c r="AA232" s="120"/>
      <c r="AB232" s="120"/>
      <c r="AC232" s="120"/>
      <c r="AD232" s="120"/>
      <c r="AE232" s="120"/>
      <c r="AF232" s="120"/>
      <c r="AG232" s="120"/>
      <c r="AH232" s="120"/>
      <c r="AI232" s="120"/>
      <c r="AJ232" s="25"/>
    </row>
    <row r="233" spans="2:36" ht="15" thickTop="1" x14ac:dyDescent="0.35">
      <c r="B233" s="222" t="s">
        <v>228</v>
      </c>
      <c r="C233" s="224" t="s">
        <v>529</v>
      </c>
      <c r="D233" s="117"/>
      <c r="E233" s="15"/>
      <c r="F233" s="67"/>
      <c r="G233" s="67"/>
      <c r="H233" s="67"/>
      <c r="I233" s="67"/>
      <c r="J233" s="67"/>
      <c r="K233" s="67"/>
      <c r="L233" s="67"/>
      <c r="M233" s="67"/>
      <c r="N233" s="67"/>
      <c r="O233" s="67"/>
      <c r="P233" s="67"/>
      <c r="Q233" s="67"/>
      <c r="R233" s="67"/>
      <c r="S233" s="67"/>
      <c r="T233" s="67"/>
      <c r="U233" s="67"/>
      <c r="V233" s="67"/>
      <c r="W233" s="67"/>
      <c r="X233" s="67"/>
      <c r="Y233" s="67"/>
      <c r="Z233" s="67"/>
      <c r="AA233" s="67"/>
      <c r="AB233" s="67"/>
      <c r="AC233" s="250" t="s">
        <v>530</v>
      </c>
      <c r="AD233" s="250"/>
      <c r="AE233" s="250"/>
      <c r="AF233" s="250"/>
      <c r="AG233" s="250"/>
      <c r="AH233" s="250"/>
      <c r="AI233" s="250"/>
      <c r="AJ233" s="251"/>
    </row>
    <row r="234" spans="2:36" ht="15" thickBot="1" x14ac:dyDescent="0.4">
      <c r="B234" s="223"/>
      <c r="C234" s="225"/>
      <c r="D234" s="118"/>
      <c r="E234" s="24"/>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20"/>
      <c r="AD234" s="120"/>
      <c r="AE234" s="120"/>
      <c r="AF234" s="120"/>
      <c r="AG234" s="120"/>
      <c r="AH234" s="120"/>
      <c r="AI234" s="120"/>
      <c r="AJ234" s="25"/>
    </row>
    <row r="235" spans="2:36" ht="15" thickTop="1" x14ac:dyDescent="0.35">
      <c r="B235" s="222" t="s">
        <v>229</v>
      </c>
      <c r="C235" s="224" t="s">
        <v>531</v>
      </c>
      <c r="D235" s="117"/>
      <c r="E235" s="15"/>
      <c r="F235" s="67"/>
      <c r="G235" s="250" t="s">
        <v>532</v>
      </c>
      <c r="H235" s="250"/>
      <c r="I235" s="250"/>
      <c r="J235" s="250"/>
      <c r="K235" s="250"/>
      <c r="L235" s="250"/>
      <c r="M235" s="250"/>
      <c r="N235" s="250"/>
      <c r="O235" s="250"/>
      <c r="P235" s="250"/>
      <c r="Q235" s="250"/>
      <c r="R235" s="250"/>
      <c r="S235" s="250"/>
      <c r="T235" s="250"/>
      <c r="U235" s="250"/>
      <c r="V235" s="250"/>
      <c r="W235" s="250"/>
      <c r="X235" s="250"/>
      <c r="Y235" s="250"/>
      <c r="Z235" s="250"/>
      <c r="AA235" s="250"/>
      <c r="AB235" s="250"/>
      <c r="AC235" s="250"/>
      <c r="AD235" s="250"/>
      <c r="AE235" s="250"/>
      <c r="AF235" s="250"/>
      <c r="AG235" s="250"/>
      <c r="AH235" s="250"/>
      <c r="AI235" s="250"/>
      <c r="AJ235" s="251"/>
    </row>
    <row r="236" spans="2:36" ht="15" thickBot="1" x14ac:dyDescent="0.4">
      <c r="B236" s="223"/>
      <c r="C236" s="225"/>
      <c r="D236" s="118"/>
      <c r="E236" s="24"/>
      <c r="F236" s="119"/>
      <c r="G236" s="120"/>
      <c r="H236" s="120"/>
      <c r="I236" s="120"/>
      <c r="J236" s="120"/>
      <c r="K236" s="120"/>
      <c r="L236" s="120"/>
      <c r="M236" s="120"/>
      <c r="N236" s="120"/>
      <c r="O236" s="120"/>
      <c r="P236" s="120"/>
      <c r="Q236" s="120"/>
      <c r="R236" s="120"/>
      <c r="S236" s="120"/>
      <c r="T236" s="120"/>
      <c r="U236" s="120"/>
      <c r="V236" s="120"/>
      <c r="W236" s="120"/>
      <c r="X236" s="120"/>
      <c r="Y236" s="120"/>
      <c r="Z236" s="120"/>
      <c r="AA236" s="120"/>
      <c r="AB236" s="120"/>
      <c r="AC236" s="120"/>
      <c r="AD236" s="120"/>
      <c r="AE236" s="120"/>
      <c r="AF236" s="120"/>
      <c r="AG236" s="120"/>
      <c r="AH236" s="120"/>
      <c r="AI236" s="120"/>
      <c r="AJ236" s="25"/>
    </row>
    <row r="237" spans="2:36" ht="15" thickTop="1" x14ac:dyDescent="0.35">
      <c r="B237" s="216" t="s">
        <v>230</v>
      </c>
      <c r="C237" s="218" t="s">
        <v>47</v>
      </c>
      <c r="D237" s="105"/>
      <c r="E237" s="13"/>
      <c r="F237" s="63"/>
      <c r="G237" s="63"/>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c r="AE237" s="63"/>
      <c r="AF237" s="63"/>
      <c r="AG237" s="63"/>
      <c r="AH237" s="63"/>
      <c r="AI237" s="63"/>
      <c r="AJ237" s="5"/>
    </row>
    <row r="238" spans="2:36" ht="15" thickBot="1" x14ac:dyDescent="0.4">
      <c r="B238" s="220"/>
      <c r="C238" s="221"/>
      <c r="D238" s="106"/>
      <c r="E238" s="19"/>
      <c r="F238" s="68"/>
      <c r="G238" s="68"/>
      <c r="H238" s="68"/>
      <c r="I238" s="68"/>
      <c r="J238" s="68"/>
      <c r="K238" s="68"/>
      <c r="L238" s="68"/>
      <c r="M238" s="68"/>
      <c r="N238" s="68"/>
      <c r="O238" s="68"/>
      <c r="P238" s="68"/>
      <c r="Q238" s="68"/>
      <c r="R238" s="68"/>
      <c r="S238" s="68"/>
      <c r="T238" s="68"/>
      <c r="U238" s="68"/>
      <c r="V238" s="68"/>
      <c r="W238" s="68"/>
      <c r="X238" s="68"/>
      <c r="Y238" s="68"/>
      <c r="Z238" s="68"/>
      <c r="AA238" s="68"/>
      <c r="AB238" s="68"/>
      <c r="AC238" s="68"/>
      <c r="AD238" s="68"/>
      <c r="AE238" s="68"/>
      <c r="AF238" s="68"/>
      <c r="AG238" s="68"/>
      <c r="AH238" s="68"/>
      <c r="AI238" s="68"/>
      <c r="AJ238" s="12"/>
    </row>
    <row r="239" spans="2:36" ht="15" thickTop="1" x14ac:dyDescent="0.35">
      <c r="B239" s="216" t="s">
        <v>231</v>
      </c>
      <c r="C239" s="218" t="s">
        <v>47</v>
      </c>
      <c r="D239" s="105"/>
      <c r="E239" s="13"/>
      <c r="F239" s="63"/>
      <c r="G239" s="63"/>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c r="AE239" s="63"/>
      <c r="AF239" s="63"/>
      <c r="AG239" s="63"/>
      <c r="AH239" s="63"/>
      <c r="AI239" s="63"/>
      <c r="AJ239" s="5"/>
    </row>
    <row r="240" spans="2:36" ht="15" thickBot="1" x14ac:dyDescent="0.4">
      <c r="B240" s="220"/>
      <c r="C240" s="221"/>
      <c r="D240" s="106"/>
      <c r="E240" s="19"/>
      <c r="F240" s="68"/>
      <c r="G240" s="68"/>
      <c r="H240" s="68"/>
      <c r="I240" s="68"/>
      <c r="J240" s="68"/>
      <c r="K240" s="68"/>
      <c r="L240" s="68"/>
      <c r="M240" s="68"/>
      <c r="N240" s="68"/>
      <c r="O240" s="68"/>
      <c r="P240" s="68"/>
      <c r="Q240" s="68"/>
      <c r="R240" s="68"/>
      <c r="S240" s="68"/>
      <c r="T240" s="68"/>
      <c r="U240" s="68"/>
      <c r="V240" s="68"/>
      <c r="W240" s="68"/>
      <c r="X240" s="68"/>
      <c r="Y240" s="68"/>
      <c r="Z240" s="68"/>
      <c r="AA240" s="68"/>
      <c r="AB240" s="68"/>
      <c r="AC240" s="68"/>
      <c r="AD240" s="68"/>
      <c r="AE240" s="68"/>
      <c r="AF240" s="68"/>
      <c r="AG240" s="68"/>
      <c r="AH240" s="68"/>
      <c r="AI240" s="68"/>
      <c r="AJ240" s="12"/>
    </row>
    <row r="241" spans="2:36" ht="15" thickTop="1" x14ac:dyDescent="0.35">
      <c r="B241" s="216" t="s">
        <v>232</v>
      </c>
      <c r="C241" s="218" t="s">
        <v>47</v>
      </c>
      <c r="D241" s="105"/>
      <c r="E241" s="13"/>
      <c r="F241" s="63"/>
      <c r="G241" s="63"/>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c r="AE241" s="63"/>
      <c r="AF241" s="63"/>
      <c r="AG241" s="63"/>
      <c r="AH241" s="63"/>
      <c r="AI241" s="63"/>
      <c r="AJ241" s="5"/>
    </row>
    <row r="242" spans="2:36" ht="15" thickBot="1" x14ac:dyDescent="0.4">
      <c r="B242" s="220"/>
      <c r="C242" s="221"/>
      <c r="D242" s="106"/>
      <c r="E242" s="19"/>
      <c r="F242" s="68"/>
      <c r="G242" s="68"/>
      <c r="H242" s="68"/>
      <c r="I242" s="68"/>
      <c r="J242" s="68"/>
      <c r="K242" s="68"/>
      <c r="L242" s="68"/>
      <c r="M242" s="68"/>
      <c r="N242" s="68"/>
      <c r="O242" s="68"/>
      <c r="P242" s="68"/>
      <c r="Q242" s="68"/>
      <c r="R242" s="68"/>
      <c r="S242" s="68"/>
      <c r="T242" s="68"/>
      <c r="U242" s="68"/>
      <c r="V242" s="68"/>
      <c r="W242" s="68"/>
      <c r="X242" s="68"/>
      <c r="Y242" s="68"/>
      <c r="Z242" s="68"/>
      <c r="AA242" s="68"/>
      <c r="AB242" s="68"/>
      <c r="AC242" s="68"/>
      <c r="AD242" s="68"/>
      <c r="AE242" s="68"/>
      <c r="AF242" s="68"/>
      <c r="AG242" s="68"/>
      <c r="AH242" s="68"/>
      <c r="AI242" s="68"/>
      <c r="AJ242" s="12"/>
    </row>
    <row r="243" spans="2:36" ht="15" thickTop="1" x14ac:dyDescent="0.35">
      <c r="B243" s="216" t="s">
        <v>233</v>
      </c>
      <c r="C243" s="218" t="s">
        <v>47</v>
      </c>
      <c r="D243" s="105"/>
      <c r="E243" s="13"/>
      <c r="F243" s="63"/>
      <c r="G243" s="63"/>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c r="AE243" s="63"/>
      <c r="AF243" s="63"/>
      <c r="AG243" s="63"/>
      <c r="AH243" s="63"/>
      <c r="AI243" s="63"/>
      <c r="AJ243" s="5"/>
    </row>
    <row r="244" spans="2:36" ht="15" thickBot="1" x14ac:dyDescent="0.4">
      <c r="B244" s="220"/>
      <c r="C244" s="221"/>
      <c r="D244" s="106"/>
      <c r="E244" s="19"/>
      <c r="F244" s="68"/>
      <c r="G244" s="68"/>
      <c r="H244" s="68"/>
      <c r="I244" s="68"/>
      <c r="J244" s="68"/>
      <c r="K244" s="68"/>
      <c r="L244" s="68"/>
      <c r="M244" s="68"/>
      <c r="N244" s="68"/>
      <c r="O244" s="68"/>
      <c r="P244" s="68"/>
      <c r="Q244" s="68"/>
      <c r="R244" s="68"/>
      <c r="S244" s="68"/>
      <c r="T244" s="68"/>
      <c r="U244" s="68"/>
      <c r="V244" s="68"/>
      <c r="W244" s="68"/>
      <c r="X244" s="68"/>
      <c r="Y244" s="68"/>
      <c r="Z244" s="68"/>
      <c r="AA244" s="68"/>
      <c r="AB244" s="68"/>
      <c r="AC244" s="68"/>
      <c r="AD244" s="68"/>
      <c r="AE244" s="68"/>
      <c r="AF244" s="68"/>
      <c r="AG244" s="68"/>
      <c r="AH244" s="68"/>
      <c r="AI244" s="68"/>
      <c r="AJ244" s="12"/>
    </row>
    <row r="245" spans="2:36" ht="15" thickTop="1" x14ac:dyDescent="0.35">
      <c r="B245" s="216" t="s">
        <v>234</v>
      </c>
      <c r="C245" s="218" t="s">
        <v>47</v>
      </c>
      <c r="D245" s="105"/>
      <c r="E245" s="13"/>
      <c r="F245" s="63"/>
      <c r="G245" s="63"/>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c r="AE245" s="63"/>
      <c r="AF245" s="63"/>
      <c r="AG245" s="63"/>
      <c r="AH245" s="63"/>
      <c r="AI245" s="63"/>
      <c r="AJ245" s="5"/>
    </row>
    <row r="246" spans="2:36" ht="15" thickBot="1" x14ac:dyDescent="0.4">
      <c r="B246" s="220"/>
      <c r="C246" s="221"/>
      <c r="D246" s="106"/>
      <c r="E246" s="19"/>
      <c r="F246" s="68"/>
      <c r="G246" s="68"/>
      <c r="H246" s="68"/>
      <c r="I246" s="68"/>
      <c r="J246" s="68"/>
      <c r="K246" s="68"/>
      <c r="L246" s="68"/>
      <c r="M246" s="68"/>
      <c r="N246" s="68"/>
      <c r="O246" s="68"/>
      <c r="P246" s="68"/>
      <c r="Q246" s="68"/>
      <c r="R246" s="68"/>
      <c r="S246" s="68"/>
      <c r="T246" s="68"/>
      <c r="U246" s="68"/>
      <c r="V246" s="68"/>
      <c r="W246" s="68"/>
      <c r="X246" s="68"/>
      <c r="Y246" s="68"/>
      <c r="Z246" s="68"/>
      <c r="AA246" s="68"/>
      <c r="AB246" s="68"/>
      <c r="AC246" s="68"/>
      <c r="AD246" s="68"/>
      <c r="AE246" s="68"/>
      <c r="AF246" s="68"/>
      <c r="AG246" s="68"/>
      <c r="AH246" s="68"/>
      <c r="AI246" s="68"/>
      <c r="AJ246" s="12"/>
    </row>
    <row r="247" spans="2:36" ht="15" thickTop="1" x14ac:dyDescent="0.35">
      <c r="B247" s="216" t="s">
        <v>235</v>
      </c>
      <c r="C247" s="218" t="s">
        <v>47</v>
      </c>
      <c r="D247" s="105"/>
      <c r="E247" s="13"/>
      <c r="F247" s="63"/>
      <c r="G247" s="63"/>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c r="AE247" s="63"/>
      <c r="AF247" s="63"/>
      <c r="AG247" s="63"/>
      <c r="AH247" s="63"/>
      <c r="AI247" s="63"/>
      <c r="AJ247" s="5"/>
    </row>
    <row r="248" spans="2:36" ht="15" thickBot="1" x14ac:dyDescent="0.4">
      <c r="B248" s="220"/>
      <c r="C248" s="221"/>
      <c r="D248" s="106"/>
      <c r="E248" s="19"/>
      <c r="F248" s="68"/>
      <c r="G248" s="68"/>
      <c r="H248" s="68"/>
      <c r="I248" s="68"/>
      <c r="J248" s="68"/>
      <c r="K248" s="68"/>
      <c r="L248" s="68"/>
      <c r="M248" s="68"/>
      <c r="N248" s="68"/>
      <c r="O248" s="68"/>
      <c r="P248" s="68"/>
      <c r="Q248" s="68"/>
      <c r="R248" s="68"/>
      <c r="S248" s="68"/>
      <c r="T248" s="68"/>
      <c r="U248" s="68"/>
      <c r="V248" s="68"/>
      <c r="W248" s="68"/>
      <c r="X248" s="68"/>
      <c r="Y248" s="68"/>
      <c r="Z248" s="68"/>
      <c r="AA248" s="68"/>
      <c r="AB248" s="68"/>
      <c r="AC248" s="68"/>
      <c r="AD248" s="68"/>
      <c r="AE248" s="68"/>
      <c r="AF248" s="68"/>
      <c r="AG248" s="68"/>
      <c r="AH248" s="68"/>
      <c r="AI248" s="68"/>
      <c r="AJ248" s="12"/>
    </row>
    <row r="249" spans="2:36" ht="15" thickTop="1" x14ac:dyDescent="0.35">
      <c r="B249" s="216" t="s">
        <v>236</v>
      </c>
      <c r="C249" s="218" t="s">
        <v>47</v>
      </c>
      <c r="D249" s="105"/>
      <c r="E249" s="13"/>
      <c r="F249" s="63"/>
      <c r="G249" s="63"/>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5"/>
    </row>
    <row r="250" spans="2:36" ht="15" thickBot="1" x14ac:dyDescent="0.4">
      <c r="B250" s="220"/>
      <c r="C250" s="221"/>
      <c r="D250" s="106"/>
      <c r="E250" s="19"/>
      <c r="F250" s="68"/>
      <c r="G250" s="68"/>
      <c r="H250" s="68"/>
      <c r="I250" s="68"/>
      <c r="J250" s="68"/>
      <c r="K250" s="68"/>
      <c r="L250" s="68"/>
      <c r="M250" s="68"/>
      <c r="N250" s="68"/>
      <c r="O250" s="68"/>
      <c r="P250" s="68"/>
      <c r="Q250" s="68"/>
      <c r="R250" s="68"/>
      <c r="S250" s="68"/>
      <c r="T250" s="68"/>
      <c r="U250" s="68"/>
      <c r="V250" s="68"/>
      <c r="W250" s="68"/>
      <c r="X250" s="68"/>
      <c r="Y250" s="68"/>
      <c r="Z250" s="68"/>
      <c r="AA250" s="68"/>
      <c r="AB250" s="68"/>
      <c r="AC250" s="68"/>
      <c r="AD250" s="68"/>
      <c r="AE250" s="68"/>
      <c r="AF250" s="68"/>
      <c r="AG250" s="68"/>
      <c r="AH250" s="68"/>
      <c r="AI250" s="68"/>
      <c r="AJ250" s="12"/>
    </row>
    <row r="251" spans="2:36" ht="15" thickTop="1" x14ac:dyDescent="0.35">
      <c r="B251" s="216" t="s">
        <v>237</v>
      </c>
      <c r="C251" s="218" t="s">
        <v>47</v>
      </c>
      <c r="D251" s="105"/>
      <c r="E251" s="13"/>
      <c r="F251" s="63"/>
      <c r="G251" s="63"/>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5"/>
    </row>
    <row r="252" spans="2:36" ht="15" thickBot="1" x14ac:dyDescent="0.4">
      <c r="B252" s="220"/>
      <c r="C252" s="221"/>
      <c r="D252" s="106"/>
      <c r="E252" s="19"/>
      <c r="F252" s="68"/>
      <c r="G252" s="68"/>
      <c r="H252" s="68"/>
      <c r="I252" s="68"/>
      <c r="J252" s="68"/>
      <c r="K252" s="68"/>
      <c r="L252" s="68"/>
      <c r="M252" s="68"/>
      <c r="N252" s="68"/>
      <c r="O252" s="68"/>
      <c r="P252" s="68"/>
      <c r="Q252" s="68"/>
      <c r="R252" s="68"/>
      <c r="S252" s="68"/>
      <c r="T252" s="68"/>
      <c r="U252" s="68"/>
      <c r="V252" s="68"/>
      <c r="W252" s="68"/>
      <c r="X252" s="68"/>
      <c r="Y252" s="68"/>
      <c r="Z252" s="68"/>
      <c r="AA252" s="68"/>
      <c r="AB252" s="68"/>
      <c r="AC252" s="68"/>
      <c r="AD252" s="68"/>
      <c r="AE252" s="68"/>
      <c r="AF252" s="68"/>
      <c r="AG252" s="68"/>
      <c r="AH252" s="68"/>
      <c r="AI252" s="68"/>
      <c r="AJ252" s="12"/>
    </row>
    <row r="253" spans="2:36" ht="15" thickTop="1" x14ac:dyDescent="0.35">
      <c r="B253" s="216" t="s">
        <v>238</v>
      </c>
      <c r="C253" s="218" t="s">
        <v>47</v>
      </c>
      <c r="D253" s="105"/>
      <c r="E253" s="13"/>
      <c r="F253" s="63"/>
      <c r="G253" s="63"/>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c r="AE253" s="63"/>
      <c r="AF253" s="63"/>
      <c r="AG253" s="63"/>
      <c r="AH253" s="63"/>
      <c r="AI253" s="63"/>
      <c r="AJ253" s="5"/>
    </row>
    <row r="254" spans="2:36" ht="15" thickBot="1" x14ac:dyDescent="0.4">
      <c r="B254" s="220"/>
      <c r="C254" s="221"/>
      <c r="D254" s="106"/>
      <c r="E254" s="19"/>
      <c r="F254" s="68"/>
      <c r="G254" s="68"/>
      <c r="H254" s="68"/>
      <c r="I254" s="68"/>
      <c r="J254" s="68"/>
      <c r="K254" s="68"/>
      <c r="L254" s="68"/>
      <c r="M254" s="68"/>
      <c r="N254" s="68"/>
      <c r="O254" s="68"/>
      <c r="P254" s="68"/>
      <c r="Q254" s="68"/>
      <c r="R254" s="68"/>
      <c r="S254" s="68"/>
      <c r="T254" s="68"/>
      <c r="U254" s="68"/>
      <c r="V254" s="68"/>
      <c r="W254" s="68"/>
      <c r="X254" s="68"/>
      <c r="Y254" s="68"/>
      <c r="Z254" s="68"/>
      <c r="AA254" s="68"/>
      <c r="AB254" s="68"/>
      <c r="AC254" s="68"/>
      <c r="AD254" s="68"/>
      <c r="AE254" s="68"/>
      <c r="AF254" s="68"/>
      <c r="AG254" s="68"/>
      <c r="AH254" s="68"/>
      <c r="AI254" s="68"/>
      <c r="AJ254" s="12"/>
    </row>
    <row r="255" spans="2:36" ht="15" thickTop="1" x14ac:dyDescent="0.35">
      <c r="B255" s="216" t="s">
        <v>239</v>
      </c>
      <c r="C255" s="218" t="s">
        <v>47</v>
      </c>
      <c r="D255" s="105"/>
      <c r="E255" s="13"/>
      <c r="F255" s="63"/>
      <c r="G255" s="63"/>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c r="AE255" s="63"/>
      <c r="AF255" s="63"/>
      <c r="AG255" s="63"/>
      <c r="AH255" s="63"/>
      <c r="AI255" s="63"/>
      <c r="AJ255" s="5"/>
    </row>
    <row r="256" spans="2:36" ht="15" thickBot="1" x14ac:dyDescent="0.4">
      <c r="B256" s="220"/>
      <c r="C256" s="221"/>
      <c r="D256" s="106"/>
      <c r="E256" s="19"/>
      <c r="F256" s="68"/>
      <c r="G256" s="68"/>
      <c r="H256" s="68"/>
      <c r="I256" s="68"/>
      <c r="J256" s="68"/>
      <c r="K256" s="68"/>
      <c r="L256" s="68"/>
      <c r="M256" s="68"/>
      <c r="N256" s="68"/>
      <c r="O256" s="68"/>
      <c r="P256" s="68"/>
      <c r="Q256" s="68"/>
      <c r="R256" s="68"/>
      <c r="S256" s="68"/>
      <c r="T256" s="68"/>
      <c r="U256" s="68"/>
      <c r="V256" s="68"/>
      <c r="W256" s="68"/>
      <c r="X256" s="68"/>
      <c r="Y256" s="68"/>
      <c r="Z256" s="68"/>
      <c r="AA256" s="68"/>
      <c r="AB256" s="68"/>
      <c r="AC256" s="68"/>
      <c r="AD256" s="68"/>
      <c r="AE256" s="68"/>
      <c r="AF256" s="68"/>
      <c r="AG256" s="68"/>
      <c r="AH256" s="68"/>
      <c r="AI256" s="68"/>
      <c r="AJ256" s="12"/>
    </row>
    <row r="257" spans="2:36" ht="15" thickTop="1" x14ac:dyDescent="0.35">
      <c r="B257" s="216" t="s">
        <v>240</v>
      </c>
      <c r="C257" s="218" t="s">
        <v>47</v>
      </c>
      <c r="D257" s="105"/>
      <c r="E257" s="13"/>
      <c r="F257" s="63"/>
      <c r="G257" s="63"/>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c r="AE257" s="63"/>
      <c r="AF257" s="63"/>
      <c r="AG257" s="63"/>
      <c r="AH257" s="63"/>
      <c r="AI257" s="63"/>
      <c r="AJ257" s="5"/>
    </row>
    <row r="258" spans="2:36" ht="15" thickBot="1" x14ac:dyDescent="0.4">
      <c r="B258" s="220"/>
      <c r="C258" s="221"/>
      <c r="D258" s="106"/>
      <c r="E258" s="19"/>
      <c r="F258" s="68"/>
      <c r="G258" s="68"/>
      <c r="H258" s="68"/>
      <c r="I258" s="68"/>
      <c r="J258" s="68"/>
      <c r="K258" s="68"/>
      <c r="L258" s="68"/>
      <c r="M258" s="68"/>
      <c r="N258" s="68"/>
      <c r="O258" s="68"/>
      <c r="P258" s="68"/>
      <c r="Q258" s="68"/>
      <c r="R258" s="68"/>
      <c r="S258" s="68"/>
      <c r="T258" s="68"/>
      <c r="U258" s="68"/>
      <c r="V258" s="68"/>
      <c r="W258" s="68"/>
      <c r="X258" s="68"/>
      <c r="Y258" s="68"/>
      <c r="Z258" s="68"/>
      <c r="AA258" s="68"/>
      <c r="AB258" s="68"/>
      <c r="AC258" s="68"/>
      <c r="AD258" s="68"/>
      <c r="AE258" s="68"/>
      <c r="AF258" s="68"/>
      <c r="AG258" s="68"/>
      <c r="AH258" s="68"/>
      <c r="AI258" s="68"/>
      <c r="AJ258" s="12"/>
    </row>
    <row r="259" spans="2:36" ht="15" thickTop="1" x14ac:dyDescent="0.35">
      <c r="B259" s="216" t="s">
        <v>241</v>
      </c>
      <c r="C259" s="218" t="s">
        <v>47</v>
      </c>
      <c r="D259" s="105"/>
      <c r="E259" s="13"/>
      <c r="F259" s="63"/>
      <c r="G259" s="63"/>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c r="AE259" s="63"/>
      <c r="AF259" s="63"/>
      <c r="AG259" s="63"/>
      <c r="AH259" s="63"/>
      <c r="AI259" s="63"/>
      <c r="AJ259" s="5"/>
    </row>
    <row r="260" spans="2:36" ht="15" thickBot="1" x14ac:dyDescent="0.4">
      <c r="B260" s="220"/>
      <c r="C260" s="221"/>
      <c r="D260" s="106"/>
      <c r="E260" s="19"/>
      <c r="F260" s="68"/>
      <c r="G260" s="68"/>
      <c r="H260" s="68"/>
      <c r="I260" s="68"/>
      <c r="J260" s="68"/>
      <c r="K260" s="68"/>
      <c r="L260" s="68"/>
      <c r="M260" s="68"/>
      <c r="N260" s="68"/>
      <c r="O260" s="68"/>
      <c r="P260" s="68"/>
      <c r="Q260" s="68"/>
      <c r="R260" s="68"/>
      <c r="S260" s="68"/>
      <c r="T260" s="68"/>
      <c r="U260" s="68"/>
      <c r="V260" s="68"/>
      <c r="W260" s="68"/>
      <c r="X260" s="68"/>
      <c r="Y260" s="68"/>
      <c r="Z260" s="68"/>
      <c r="AA260" s="68"/>
      <c r="AB260" s="68"/>
      <c r="AC260" s="68"/>
      <c r="AD260" s="68"/>
      <c r="AE260" s="68"/>
      <c r="AF260" s="68"/>
      <c r="AG260" s="68"/>
      <c r="AH260" s="68"/>
      <c r="AI260" s="68"/>
      <c r="AJ260" s="12"/>
    </row>
    <row r="261" spans="2:36" ht="15.5" thickTop="1" thickBot="1" x14ac:dyDescent="0.4">
      <c r="B261" s="216" t="s">
        <v>242</v>
      </c>
      <c r="C261" s="218" t="s">
        <v>47</v>
      </c>
      <c r="D261" s="131"/>
      <c r="E261" s="13"/>
      <c r="F261" s="63"/>
      <c r="G261" s="63"/>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c r="AE261" s="63"/>
      <c r="AF261" s="63"/>
      <c r="AG261" s="63"/>
      <c r="AH261" s="63"/>
      <c r="AI261" s="63"/>
      <c r="AJ261" s="5"/>
    </row>
    <row r="262" spans="2:36" ht="15.5" thickTop="1" thickBot="1" x14ac:dyDescent="0.4">
      <c r="B262" s="217"/>
      <c r="C262" s="219"/>
      <c r="D262" s="95"/>
      <c r="E262" s="11"/>
      <c r="F262" s="7"/>
      <c r="G262" s="7"/>
      <c r="H262" s="7"/>
      <c r="I262" s="7"/>
      <c r="J262" s="7"/>
      <c r="K262" s="7"/>
      <c r="L262" s="7"/>
      <c r="M262" s="7"/>
      <c r="N262" s="7"/>
      <c r="O262" s="7"/>
      <c r="P262" s="7"/>
      <c r="Q262" s="7"/>
      <c r="R262" s="7"/>
      <c r="S262" s="7"/>
      <c r="T262" s="7"/>
      <c r="U262" s="7"/>
      <c r="V262" s="7"/>
      <c r="W262" s="7"/>
      <c r="X262" s="7"/>
      <c r="Y262" s="7"/>
      <c r="Z262" s="7"/>
      <c r="AA262" s="7"/>
      <c r="AB262" s="7"/>
      <c r="AC262" s="7"/>
      <c r="AD262" s="7"/>
      <c r="AE262" s="7"/>
      <c r="AF262" s="7"/>
      <c r="AG262" s="7"/>
      <c r="AH262" s="7"/>
      <c r="AI262" s="7"/>
      <c r="AJ262" s="8"/>
    </row>
    <row r="263" spans="2:36" s="9" customFormat="1" ht="15" thickTop="1" x14ac:dyDescent="0.35"/>
    <row r="264" spans="2:36" s="9" customFormat="1" x14ac:dyDescent="0.35"/>
    <row r="265" spans="2:36" s="9" customFormat="1" x14ac:dyDescent="0.35"/>
    <row r="266" spans="2:36" s="9" customFormat="1" x14ac:dyDescent="0.35"/>
    <row r="267" spans="2:36" s="9" customFormat="1" x14ac:dyDescent="0.35"/>
    <row r="268" spans="2:36" s="9" customFormat="1" x14ac:dyDescent="0.35"/>
    <row r="269" spans="2:36" s="9" customFormat="1" x14ac:dyDescent="0.35"/>
    <row r="270" spans="2:36" s="9" customFormat="1" x14ac:dyDescent="0.35"/>
    <row r="271" spans="2:36" s="9" customFormat="1" x14ac:dyDescent="0.35"/>
    <row r="272" spans="2:36" s="9" customFormat="1" x14ac:dyDescent="0.35"/>
    <row r="273" s="9" customFormat="1" x14ac:dyDescent="0.35"/>
  </sheetData>
  <mergeCells count="518">
    <mergeCell ref="B5:B6"/>
    <mergeCell ref="C5:C6"/>
    <mergeCell ref="D5:D6"/>
    <mergeCell ref="E5:AJ5"/>
    <mergeCell ref="E11:J11"/>
    <mergeCell ref="K11:Z11"/>
    <mergeCell ref="AA11:AC11"/>
    <mergeCell ref="AD11:AJ11"/>
    <mergeCell ref="E13:J13"/>
    <mergeCell ref="K13:AJ13"/>
    <mergeCell ref="E7:J7"/>
    <mergeCell ref="K7:N7"/>
    <mergeCell ref="O7:V7"/>
    <mergeCell ref="W7:AD7"/>
    <mergeCell ref="AE7:AJ7"/>
    <mergeCell ref="E9:J9"/>
    <mergeCell ref="K9:N9"/>
    <mergeCell ref="O9:AD9"/>
    <mergeCell ref="AE9:AJ9"/>
    <mergeCell ref="AG15:AJ15"/>
    <mergeCell ref="E17:J17"/>
    <mergeCell ref="T17:AJ17"/>
    <mergeCell ref="E19:J19"/>
    <mergeCell ref="E21:J21"/>
    <mergeCell ref="L21:M21"/>
    <mergeCell ref="N21:Q21"/>
    <mergeCell ref="U21:W21"/>
    <mergeCell ref="Z21:AC21"/>
    <mergeCell ref="AG21:AH21"/>
    <mergeCell ref="E15:J15"/>
    <mergeCell ref="T15:U15"/>
    <mergeCell ref="V15:W15"/>
    <mergeCell ref="X15:Y15"/>
    <mergeCell ref="Z15:AA15"/>
    <mergeCell ref="AC15:AF15"/>
    <mergeCell ref="E27:J27"/>
    <mergeCell ref="K27:P27"/>
    <mergeCell ref="Q27:Z27"/>
    <mergeCell ref="AA27:AJ27"/>
    <mergeCell ref="E29:J29"/>
    <mergeCell ref="S29:AA29"/>
    <mergeCell ref="AB29:AJ29"/>
    <mergeCell ref="AI21:AJ21"/>
    <mergeCell ref="E23:J23"/>
    <mergeCell ref="R23:V23"/>
    <mergeCell ref="X23:AE23"/>
    <mergeCell ref="AG23:AH23"/>
    <mergeCell ref="E25:J25"/>
    <mergeCell ref="Q25:Z25"/>
    <mergeCell ref="AA25:AJ25"/>
    <mergeCell ref="E35:J35"/>
    <mergeCell ref="L35:V35"/>
    <mergeCell ref="W35:AJ35"/>
    <mergeCell ref="E37:J37"/>
    <mergeCell ref="M37:R37"/>
    <mergeCell ref="S37:X37"/>
    <mergeCell ref="Y37:AD37"/>
    <mergeCell ref="AE37:AJ37"/>
    <mergeCell ref="E31:J31"/>
    <mergeCell ref="L31:R31"/>
    <mergeCell ref="S31:AA31"/>
    <mergeCell ref="AB31:AJ31"/>
    <mergeCell ref="E33:J33"/>
    <mergeCell ref="K33:T33"/>
    <mergeCell ref="U33:AD33"/>
    <mergeCell ref="AE33:AJ33"/>
    <mergeCell ref="AH39:AJ39"/>
    <mergeCell ref="E41:J41"/>
    <mergeCell ref="AB41:AC41"/>
    <mergeCell ref="AD41:AJ41"/>
    <mergeCell ref="E43:J43"/>
    <mergeCell ref="AB43:AD43"/>
    <mergeCell ref="AG43:AJ43"/>
    <mergeCell ref="E39:J39"/>
    <mergeCell ref="M39:N39"/>
    <mergeCell ref="O39:Q39"/>
    <mergeCell ref="R39:S39"/>
    <mergeCell ref="AA39:AB39"/>
    <mergeCell ref="AC39:AD39"/>
    <mergeCell ref="E49:J49"/>
    <mergeCell ref="K49:W49"/>
    <mergeCell ref="X49:AJ49"/>
    <mergeCell ref="E51:J51"/>
    <mergeCell ref="K51:W51"/>
    <mergeCell ref="X51:AJ51"/>
    <mergeCell ref="E45:J45"/>
    <mergeCell ref="K45:W45"/>
    <mergeCell ref="X45:AJ45"/>
    <mergeCell ref="E47:J47"/>
    <mergeCell ref="K47:W47"/>
    <mergeCell ref="X47:AJ47"/>
    <mergeCell ref="E57:J57"/>
    <mergeCell ref="K57:W57"/>
    <mergeCell ref="X57:AJ57"/>
    <mergeCell ref="E59:J59"/>
    <mergeCell ref="K59:W59"/>
    <mergeCell ref="X59:AJ59"/>
    <mergeCell ref="E53:J53"/>
    <mergeCell ref="K53:W53"/>
    <mergeCell ref="X53:AJ53"/>
    <mergeCell ref="E55:J55"/>
    <mergeCell ref="K55:W55"/>
    <mergeCell ref="X55:AJ55"/>
    <mergeCell ref="E65:J65"/>
    <mergeCell ref="M65:X65"/>
    <mergeCell ref="Y65:AJ65"/>
    <mergeCell ref="E67:J67"/>
    <mergeCell ref="R67:Y67"/>
    <mergeCell ref="AC67:AD67"/>
    <mergeCell ref="AE67:AF67"/>
    <mergeCell ref="AG67:AJ67"/>
    <mergeCell ref="E61:J61"/>
    <mergeCell ref="O61:Q61"/>
    <mergeCell ref="S61:U61"/>
    <mergeCell ref="X61:AJ61"/>
    <mergeCell ref="E63:J63"/>
    <mergeCell ref="K63:X63"/>
    <mergeCell ref="Y63:AA63"/>
    <mergeCell ref="AB63:AJ63"/>
    <mergeCell ref="K83:AJ83"/>
    <mergeCell ref="L85:M85"/>
    <mergeCell ref="N85:Q85"/>
    <mergeCell ref="U85:W85"/>
    <mergeCell ref="Z85:AC85"/>
    <mergeCell ref="AG85:AH85"/>
    <mergeCell ref="AI85:AJ85"/>
    <mergeCell ref="E69:J69"/>
    <mergeCell ref="M69:AJ69"/>
    <mergeCell ref="T79:U79"/>
    <mergeCell ref="V79:W79"/>
    <mergeCell ref="X79:Y79"/>
    <mergeCell ref="Z79:AA79"/>
    <mergeCell ref="AC79:AF79"/>
    <mergeCell ref="AG79:AJ79"/>
    <mergeCell ref="T81:AJ81"/>
    <mergeCell ref="K91:P91"/>
    <mergeCell ref="Q91:Z91"/>
    <mergeCell ref="AA91:AJ91"/>
    <mergeCell ref="S93:AA93"/>
    <mergeCell ref="AB93:AJ93"/>
    <mergeCell ref="L95:R95"/>
    <mergeCell ref="S95:AA95"/>
    <mergeCell ref="AB95:AJ95"/>
    <mergeCell ref="R87:V87"/>
    <mergeCell ref="X87:AE87"/>
    <mergeCell ref="AG87:AH87"/>
    <mergeCell ref="K89:N89"/>
    <mergeCell ref="Q89:Z89"/>
    <mergeCell ref="AA89:AJ89"/>
    <mergeCell ref="K97:T97"/>
    <mergeCell ref="U97:AD97"/>
    <mergeCell ref="AE97:AJ97"/>
    <mergeCell ref="L99:V99"/>
    <mergeCell ref="W99:AJ99"/>
    <mergeCell ref="K101:L101"/>
    <mergeCell ref="M101:R101"/>
    <mergeCell ref="S101:X101"/>
    <mergeCell ref="Y101:AD101"/>
    <mergeCell ref="AE101:AJ101"/>
    <mergeCell ref="K111:W111"/>
    <mergeCell ref="X111:AJ111"/>
    <mergeCell ref="K113:W113"/>
    <mergeCell ref="X113:AJ113"/>
    <mergeCell ref="K115:W115"/>
    <mergeCell ref="X115:AJ115"/>
    <mergeCell ref="AH103:AJ103"/>
    <mergeCell ref="AB105:AC105"/>
    <mergeCell ref="AD105:AJ105"/>
    <mergeCell ref="AB107:AD107"/>
    <mergeCell ref="AG107:AJ107"/>
    <mergeCell ref="K109:W109"/>
    <mergeCell ref="X109:AJ109"/>
    <mergeCell ref="K103:L103"/>
    <mergeCell ref="M103:N103"/>
    <mergeCell ref="O103:Q103"/>
    <mergeCell ref="R103:S103"/>
    <mergeCell ref="AA103:AB103"/>
    <mergeCell ref="AC103:AD103"/>
    <mergeCell ref="K123:W123"/>
    <mergeCell ref="X123:AJ123"/>
    <mergeCell ref="K125:M125"/>
    <mergeCell ref="O125:Q125"/>
    <mergeCell ref="S125:U125"/>
    <mergeCell ref="X125:AJ125"/>
    <mergeCell ref="K117:W117"/>
    <mergeCell ref="X117:AJ117"/>
    <mergeCell ref="K119:W119"/>
    <mergeCell ref="X119:AJ119"/>
    <mergeCell ref="K121:W121"/>
    <mergeCell ref="X121:AJ121"/>
    <mergeCell ref="K127:X127"/>
    <mergeCell ref="Y127:AA127"/>
    <mergeCell ref="AB127:AJ127"/>
    <mergeCell ref="M129:X129"/>
    <mergeCell ref="Y129:AJ129"/>
    <mergeCell ref="K131:P131"/>
    <mergeCell ref="R131:Y131"/>
    <mergeCell ref="AC131:AD131"/>
    <mergeCell ref="AE131:AF131"/>
    <mergeCell ref="AG131:AJ131"/>
    <mergeCell ref="M133:AJ133"/>
    <mergeCell ref="E135:F135"/>
    <mergeCell ref="G135:H135"/>
    <mergeCell ref="I135:J135"/>
    <mergeCell ref="K135:P135"/>
    <mergeCell ref="W135:X135"/>
    <mergeCell ref="AE135:AF135"/>
    <mergeCell ref="AG135:AI135"/>
    <mergeCell ref="S137:X137"/>
    <mergeCell ref="E147:Z147"/>
    <mergeCell ref="G149:AJ149"/>
    <mergeCell ref="Z167:AC167"/>
    <mergeCell ref="W169:AC169"/>
    <mergeCell ref="AB171:AE171"/>
    <mergeCell ref="AG171:AJ171"/>
    <mergeCell ref="Y137:AC137"/>
    <mergeCell ref="AD137:AH137"/>
    <mergeCell ref="K139:AJ139"/>
    <mergeCell ref="Y141:AC141"/>
    <mergeCell ref="AF141:AG141"/>
    <mergeCell ref="AF143:AG143"/>
    <mergeCell ref="AH143:AI143"/>
    <mergeCell ref="E181:T181"/>
    <mergeCell ref="U181:AJ181"/>
    <mergeCell ref="U183:AB183"/>
    <mergeCell ref="AC183:AJ183"/>
    <mergeCell ref="R185:X185"/>
    <mergeCell ref="Y185:AJ185"/>
    <mergeCell ref="R173:AJ173"/>
    <mergeCell ref="E175:T175"/>
    <mergeCell ref="U175:AJ175"/>
    <mergeCell ref="E177:T177"/>
    <mergeCell ref="U177:AJ177"/>
    <mergeCell ref="E179:T179"/>
    <mergeCell ref="U179:AJ179"/>
    <mergeCell ref="E193:T193"/>
    <mergeCell ref="U193:AJ193"/>
    <mergeCell ref="E195:T195"/>
    <mergeCell ref="U195:AJ195"/>
    <mergeCell ref="U197:AJ197"/>
    <mergeCell ref="E199:T199"/>
    <mergeCell ref="U199:AJ199"/>
    <mergeCell ref="E187:T187"/>
    <mergeCell ref="U187:AJ187"/>
    <mergeCell ref="E189:T189"/>
    <mergeCell ref="U189:AJ189"/>
    <mergeCell ref="E191:T191"/>
    <mergeCell ref="U191:AJ191"/>
    <mergeCell ref="G235:AJ235"/>
    <mergeCell ref="E211:AJ211"/>
    <mergeCell ref="E213:AJ213"/>
    <mergeCell ref="U215:AJ215"/>
    <mergeCell ref="U217:AJ217"/>
    <mergeCell ref="F231:AJ231"/>
    <mergeCell ref="AC233:AJ233"/>
    <mergeCell ref="E201:T201"/>
    <mergeCell ref="S203:AJ203"/>
    <mergeCell ref="E205:T205"/>
    <mergeCell ref="U205:AJ205"/>
    <mergeCell ref="G207:AJ207"/>
    <mergeCell ref="E209:AG209"/>
    <mergeCell ref="AH209:AJ209"/>
    <mergeCell ref="B15:B16"/>
    <mergeCell ref="C15:C16"/>
    <mergeCell ref="B17:B18"/>
    <mergeCell ref="C17:C18"/>
    <mergeCell ref="B19:B20"/>
    <mergeCell ref="C19:C20"/>
    <mergeCell ref="B7:B8"/>
    <mergeCell ref="C7:C8"/>
    <mergeCell ref="B9:B10"/>
    <mergeCell ref="C9:C10"/>
    <mergeCell ref="B11:B12"/>
    <mergeCell ref="C11:C12"/>
    <mergeCell ref="B13:B14"/>
    <mergeCell ref="C13:C14"/>
    <mergeCell ref="B27:B28"/>
    <mergeCell ref="C27:C28"/>
    <mergeCell ref="B29:B30"/>
    <mergeCell ref="C29:C30"/>
    <mergeCell ref="B31:B32"/>
    <mergeCell ref="C31:C32"/>
    <mergeCell ref="B21:B22"/>
    <mergeCell ref="C21:C22"/>
    <mergeCell ref="B23:B24"/>
    <mergeCell ref="C23:C24"/>
    <mergeCell ref="B25:B26"/>
    <mergeCell ref="C25:C26"/>
    <mergeCell ref="B39:B40"/>
    <mergeCell ref="C39:C40"/>
    <mergeCell ref="B41:B42"/>
    <mergeCell ref="C41:C42"/>
    <mergeCell ref="B43:B44"/>
    <mergeCell ref="C43:C44"/>
    <mergeCell ref="B33:B34"/>
    <mergeCell ref="C33:C34"/>
    <mergeCell ref="B35:B36"/>
    <mergeCell ref="C35:C36"/>
    <mergeCell ref="B37:B38"/>
    <mergeCell ref="C37:C38"/>
    <mergeCell ref="B51:B52"/>
    <mergeCell ref="C51:C52"/>
    <mergeCell ref="B53:B54"/>
    <mergeCell ref="C53:C54"/>
    <mergeCell ref="B55:B56"/>
    <mergeCell ref="C55:C56"/>
    <mergeCell ref="B45:B46"/>
    <mergeCell ref="C45:C46"/>
    <mergeCell ref="B47:B48"/>
    <mergeCell ref="C47:C48"/>
    <mergeCell ref="B49:B50"/>
    <mergeCell ref="C49:C50"/>
    <mergeCell ref="B63:B64"/>
    <mergeCell ref="C63:C64"/>
    <mergeCell ref="B65:B66"/>
    <mergeCell ref="C65:C66"/>
    <mergeCell ref="B67:B68"/>
    <mergeCell ref="C67:C68"/>
    <mergeCell ref="B57:B58"/>
    <mergeCell ref="C57:C58"/>
    <mergeCell ref="B59:B60"/>
    <mergeCell ref="C59:C60"/>
    <mergeCell ref="B61:B62"/>
    <mergeCell ref="C61:C62"/>
    <mergeCell ref="B75:B76"/>
    <mergeCell ref="C75:C76"/>
    <mergeCell ref="B77:B78"/>
    <mergeCell ref="C77:C78"/>
    <mergeCell ref="B79:B80"/>
    <mergeCell ref="C79:C80"/>
    <mergeCell ref="B69:B70"/>
    <mergeCell ref="C69:C70"/>
    <mergeCell ref="B71:B72"/>
    <mergeCell ref="C71:C72"/>
    <mergeCell ref="B73:B74"/>
    <mergeCell ref="C73:C74"/>
    <mergeCell ref="B87:B88"/>
    <mergeCell ref="C87:C88"/>
    <mergeCell ref="B89:B90"/>
    <mergeCell ref="C89:C90"/>
    <mergeCell ref="B91:B92"/>
    <mergeCell ref="C91:C92"/>
    <mergeCell ref="B81:B82"/>
    <mergeCell ref="C81:C82"/>
    <mergeCell ref="B83:B84"/>
    <mergeCell ref="C83:C84"/>
    <mergeCell ref="B85:B86"/>
    <mergeCell ref="C85:C86"/>
    <mergeCell ref="B99:B100"/>
    <mergeCell ref="C99:C100"/>
    <mergeCell ref="B101:B102"/>
    <mergeCell ref="C101:C102"/>
    <mergeCell ref="B103:B104"/>
    <mergeCell ref="C103:C104"/>
    <mergeCell ref="B93:B94"/>
    <mergeCell ref="C93:C94"/>
    <mergeCell ref="B95:B96"/>
    <mergeCell ref="C95:C96"/>
    <mergeCell ref="B97:B98"/>
    <mergeCell ref="C97:C98"/>
    <mergeCell ref="B111:B112"/>
    <mergeCell ref="C111:C112"/>
    <mergeCell ref="B113:B114"/>
    <mergeCell ref="C113:C114"/>
    <mergeCell ref="B115:B116"/>
    <mergeCell ref="C115:C116"/>
    <mergeCell ref="B105:B106"/>
    <mergeCell ref="C105:C106"/>
    <mergeCell ref="B107:B108"/>
    <mergeCell ref="C107:C108"/>
    <mergeCell ref="B109:B110"/>
    <mergeCell ref="C109:C110"/>
    <mergeCell ref="B123:B124"/>
    <mergeCell ref="C123:C124"/>
    <mergeCell ref="B125:B126"/>
    <mergeCell ref="C125:C126"/>
    <mergeCell ref="B127:B128"/>
    <mergeCell ref="C127:C128"/>
    <mergeCell ref="B117:B118"/>
    <mergeCell ref="C117:C118"/>
    <mergeCell ref="B119:B120"/>
    <mergeCell ref="C119:C120"/>
    <mergeCell ref="B121:B122"/>
    <mergeCell ref="C121:C122"/>
    <mergeCell ref="B135:B136"/>
    <mergeCell ref="C135:C136"/>
    <mergeCell ref="B137:B138"/>
    <mergeCell ref="C137:C138"/>
    <mergeCell ref="B139:B140"/>
    <mergeCell ref="C139:C140"/>
    <mergeCell ref="B129:B130"/>
    <mergeCell ref="C129:C130"/>
    <mergeCell ref="B131:B132"/>
    <mergeCell ref="C131:C132"/>
    <mergeCell ref="B133:B134"/>
    <mergeCell ref="C133:C134"/>
    <mergeCell ref="B147:B148"/>
    <mergeCell ref="C147:C148"/>
    <mergeCell ref="B149:B150"/>
    <mergeCell ref="C149:C150"/>
    <mergeCell ref="B151:B152"/>
    <mergeCell ref="C151:C152"/>
    <mergeCell ref="B141:B142"/>
    <mergeCell ref="C141:C142"/>
    <mergeCell ref="B143:B144"/>
    <mergeCell ref="C143:C144"/>
    <mergeCell ref="B145:B146"/>
    <mergeCell ref="C145:C146"/>
    <mergeCell ref="B159:B160"/>
    <mergeCell ref="C159:C160"/>
    <mergeCell ref="B161:B162"/>
    <mergeCell ref="C161:C162"/>
    <mergeCell ref="B163:B164"/>
    <mergeCell ref="C163:C164"/>
    <mergeCell ref="B153:B154"/>
    <mergeCell ref="C153:C154"/>
    <mergeCell ref="B155:B156"/>
    <mergeCell ref="C155:C156"/>
    <mergeCell ref="B157:B158"/>
    <mergeCell ref="C157:C158"/>
    <mergeCell ref="B171:B172"/>
    <mergeCell ref="C171:C172"/>
    <mergeCell ref="B173:B174"/>
    <mergeCell ref="C173:C174"/>
    <mergeCell ref="B175:B176"/>
    <mergeCell ref="C175:C176"/>
    <mergeCell ref="B165:B166"/>
    <mergeCell ref="C165:C166"/>
    <mergeCell ref="B167:B168"/>
    <mergeCell ref="C167:C168"/>
    <mergeCell ref="B169:B170"/>
    <mergeCell ref="C169:C170"/>
    <mergeCell ref="B183:B184"/>
    <mergeCell ref="C183:C184"/>
    <mergeCell ref="B185:B186"/>
    <mergeCell ref="C185:C186"/>
    <mergeCell ref="B187:B188"/>
    <mergeCell ref="C187:C188"/>
    <mergeCell ref="B177:B178"/>
    <mergeCell ref="C177:C178"/>
    <mergeCell ref="B179:B180"/>
    <mergeCell ref="C179:C180"/>
    <mergeCell ref="B181:B182"/>
    <mergeCell ref="C181:C182"/>
    <mergeCell ref="B195:B196"/>
    <mergeCell ref="C195:C196"/>
    <mergeCell ref="B197:B198"/>
    <mergeCell ref="C197:C198"/>
    <mergeCell ref="B199:B200"/>
    <mergeCell ref="C199:C200"/>
    <mergeCell ref="B189:B190"/>
    <mergeCell ref="C189:C190"/>
    <mergeCell ref="B191:B192"/>
    <mergeCell ref="C191:C192"/>
    <mergeCell ref="B193:B194"/>
    <mergeCell ref="C193:C194"/>
    <mergeCell ref="B207:B208"/>
    <mergeCell ref="C207:C208"/>
    <mergeCell ref="B209:B210"/>
    <mergeCell ref="C209:C210"/>
    <mergeCell ref="B211:B212"/>
    <mergeCell ref="C211:C212"/>
    <mergeCell ref="B201:B202"/>
    <mergeCell ref="C201:C202"/>
    <mergeCell ref="B203:B204"/>
    <mergeCell ref="C203:C204"/>
    <mergeCell ref="B205:B206"/>
    <mergeCell ref="C205:C206"/>
    <mergeCell ref="B219:B220"/>
    <mergeCell ref="C219:C220"/>
    <mergeCell ref="B221:B222"/>
    <mergeCell ref="C221:C222"/>
    <mergeCell ref="B223:B224"/>
    <mergeCell ref="C223:C224"/>
    <mergeCell ref="B213:B214"/>
    <mergeCell ref="C213:C214"/>
    <mergeCell ref="B215:B216"/>
    <mergeCell ref="C215:C216"/>
    <mergeCell ref="B217:B218"/>
    <mergeCell ref="C217:C218"/>
    <mergeCell ref="B231:B232"/>
    <mergeCell ref="C231:C232"/>
    <mergeCell ref="B233:B234"/>
    <mergeCell ref="C233:C234"/>
    <mergeCell ref="B235:B236"/>
    <mergeCell ref="C235:C236"/>
    <mergeCell ref="B225:B226"/>
    <mergeCell ref="C225:C226"/>
    <mergeCell ref="B227:B228"/>
    <mergeCell ref="C227:C228"/>
    <mergeCell ref="B229:B230"/>
    <mergeCell ref="C229:C230"/>
    <mergeCell ref="B243:B244"/>
    <mergeCell ref="C243:C244"/>
    <mergeCell ref="B245:B246"/>
    <mergeCell ref="C245:C246"/>
    <mergeCell ref="B247:B248"/>
    <mergeCell ref="C247:C248"/>
    <mergeCell ref="B237:B238"/>
    <mergeCell ref="C237:C238"/>
    <mergeCell ref="B239:B240"/>
    <mergeCell ref="C239:C240"/>
    <mergeCell ref="B241:B242"/>
    <mergeCell ref="C241:C242"/>
    <mergeCell ref="B261:B262"/>
    <mergeCell ref="C261:C262"/>
    <mergeCell ref="B255:B256"/>
    <mergeCell ref="C255:C256"/>
    <mergeCell ref="B257:B258"/>
    <mergeCell ref="C257:C258"/>
    <mergeCell ref="B259:B260"/>
    <mergeCell ref="C259:C260"/>
    <mergeCell ref="B249:B250"/>
    <mergeCell ref="C249:C250"/>
    <mergeCell ref="B251:B252"/>
    <mergeCell ref="C251:C252"/>
    <mergeCell ref="B253:B254"/>
    <mergeCell ref="C253:C254"/>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Generate</vt:lpstr>
      <vt:lpstr>IDS_View</vt:lpstr>
      <vt:lpstr>Summary_View</vt:lpstr>
      <vt:lpstr>Mem_Dump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2019-01-14T21:48:26Z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any">
    <vt:lpwstr>Agnisys, Inc.</vt:lpwstr>
  </property>
  <property fmtid="{D5CDD505-2E9C-101B-9397-08002B2CF9AE}" pid="3" name="IssFirmwareVariable">
    <vt:lpwstr>int</vt:lpwstr>
  </property>
  <property fmtid="{D5CDD505-2E9C-101B-9397-08002B2CF9AE}" pid="4" name="IssFirmwareArgs">
    <vt:lpwstr>int</vt:lpwstr>
  </property>
  <property fmtid="{D5CDD505-2E9C-101B-9397-08002B2CF9AE}" pid="5" name="IssFirmwareConstant">
    <vt:lpwstr>int</vt:lpwstr>
  </property>
  <property fmtid="{D5CDD505-2E9C-101B-9397-08002B2CF9AE}" pid="6" name="IssFirmwareMultiplier">
    <vt:lpwstr>100</vt:lpwstr>
  </property>
  <property fmtid="{D5CDD505-2E9C-101B-9397-08002B2CF9AE}" pid="7" name="IssFirmwareNameFormat">
    <vt:lpwstr>%s</vt:lpwstr>
  </property>
  <property fmtid="{D5CDD505-2E9C-101B-9397-08002B2CF9AE}" pid="8" name="IssFirmwareNestimg">
    <vt:lpwstr>1</vt:lpwstr>
  </property>
  <property fmtid="{D5CDD505-2E9C-101B-9397-08002B2CF9AE}" pid="9" name="C_api">
    <vt:bool>false</vt:bool>
  </property>
  <property fmtid="{D5CDD505-2E9C-101B-9397-08002B2CF9AE}" pid="10" name="DataSheet">
    <vt:bool>false</vt:bool>
  </property>
  <property fmtid="{D5CDD505-2E9C-101B-9397-08002B2CF9AE}" pid="11" name="Word">
    <vt:bool>false</vt:bool>
  </property>
  <property fmtid="{D5CDD505-2E9C-101B-9397-08002B2CF9AE}" pid="12" name="SaveDocument">
    <vt:bool>true</vt:bool>
  </property>
  <property fmtid="{D5CDD505-2E9C-101B-9397-08002B2CF9AE}" pid="13" name="Copyright">
    <vt:lpwstr>***** Copyright 2016 All Rights Reserved. *****</vt:lpwstr>
  </property>
  <property fmtid="{D5CDD505-2E9C-101B-9397-08002B2CF9AE}" pid="14" name="Verilog">
    <vt:bool>true</vt:bool>
  </property>
  <property fmtid="{D5CDD505-2E9C-101B-9397-08002B2CF9AE}" pid="15" name="VHDL">
    <vt:bool>false</vt:bool>
  </property>
  <property fmtid="{D5CDD505-2E9C-101B-9397-08002B2CF9AE}" pid="16" name="VhdlAlt1">
    <vt:bool>true</vt:bool>
  </property>
  <property fmtid="{D5CDD505-2E9C-101B-9397-08002B2CF9AE}" pid="17" name="VhdlAlt2">
    <vt:bool>false</vt:bool>
  </property>
  <property fmtid="{D5CDD505-2E9C-101B-9397-08002B2CF9AE}" pid="18" name="OCP">
    <vt:bool>false</vt:bool>
  </property>
  <property fmtid="{D5CDD505-2E9C-101B-9397-08002B2CF9AE}" pid="19" name="UVM">
    <vt:bool>true</vt:bool>
  </property>
  <property fmtid="{D5CDD505-2E9C-101B-9397-08002B2CF9AE}" pid="20" name="eRM">
    <vt:bool>false</vt:bool>
  </property>
  <property fmtid="{D5CDD505-2E9C-101B-9397-08002B2CF9AE}" pid="21" name="SVG">
    <vt:bool>false</vt:bool>
  </property>
  <property fmtid="{D5CDD505-2E9C-101B-9397-08002B2CF9AE}" pid="22" name="SVHeader">
    <vt:bool>false</vt:bool>
  </property>
  <property fmtid="{D5CDD505-2E9C-101B-9397-08002B2CF9AE}" pid="23" name="OutDir">
    <vt:lpwstr>ids</vt:lpwstr>
  </property>
  <property fmtid="{D5CDD505-2E9C-101B-9397-08002B2CF9AE}" pid="24" name="OVM">
    <vt:bool>false</vt:bool>
  </property>
  <property fmtid="{D5CDD505-2E9C-101B-9397-08002B2CF9AE}" pid="25" name="VMM">
    <vt:bool>false</vt:bool>
  </property>
  <property fmtid="{D5CDD505-2E9C-101B-9397-08002B2CF9AE}" pid="26" name="IP-XACT">
    <vt:bool>false</vt:bool>
  </property>
  <property fmtid="{D5CDD505-2E9C-101B-9397-08002B2CF9AE}" pid="27" name="IPXactMOFile">
    <vt:bool>false</vt:bool>
  </property>
  <property fmtid="{D5CDD505-2E9C-101B-9397-08002B2CF9AE}" pid="28" name="Header">
    <vt:bool>false</vt:bool>
  </property>
  <property fmtid="{D5CDD505-2E9C-101B-9397-08002B2CF9AE}" pid="29" name="HeaderAlt1">
    <vt:bool>true</vt:bool>
  </property>
  <property fmtid="{D5CDD505-2E9C-101B-9397-08002B2CF9AE}" pid="30" name="HeaderAlt2">
    <vt:bool>false</vt:bool>
  </property>
  <property fmtid="{D5CDD505-2E9C-101B-9397-08002B2CF9AE}" pid="31" name="HeaderMisrac">
    <vt:bool>false</vt:bool>
  </property>
  <property fmtid="{D5CDD505-2E9C-101B-9397-08002B2CF9AE}" pid="32" name="Classes">
    <vt:bool>false</vt:bool>
  </property>
  <property fmtid="{D5CDD505-2E9C-101B-9397-08002B2CF9AE}" pid="33" name="HTML">
    <vt:bool>false</vt:bool>
  </property>
  <property fmtid="{D5CDD505-2E9C-101B-9397-08002B2CF9AE}" pid="34" name="HTMLAlt1">
    <vt:bool>true</vt:bool>
  </property>
  <property fmtid="{D5CDD505-2E9C-101B-9397-08002B2CF9AE}" pid="35" name="HTMLAlt2">
    <vt:bool>false</vt:bool>
  </property>
  <property fmtid="{D5CDD505-2E9C-101B-9397-08002B2CF9AE}" pid="36" name="XML">
    <vt:bool>false</vt:bool>
  </property>
  <property fmtid="{D5CDD505-2E9C-101B-9397-08002B2CF9AE}" pid="37" name="IVSXML">
    <vt:bool>false</vt:bool>
  </property>
  <property fmtid="{D5CDD505-2E9C-101B-9397-08002B2CF9AE}" pid="38" name="IvsExcel">
    <vt:bool>false</vt:bool>
  </property>
  <property fmtid="{D5CDD505-2E9C-101B-9397-08002B2CF9AE}" pid="39" name="PDF">
    <vt:bool>false</vt:bool>
  </property>
  <property fmtid="{D5CDD505-2E9C-101B-9397-08002B2CF9AE}" pid="40" name="RDL">
    <vt:bool>false</vt:bool>
  </property>
  <property fmtid="{D5CDD505-2E9C-101B-9397-08002B2CF9AE}" pid="41" name="TypeInt">
    <vt:lpwstr>hwint</vt:lpwstr>
  </property>
  <property fmtid="{D5CDD505-2E9C-101B-9397-08002B2CF9AE}" pid="42" name="BigEdian">
    <vt:bool>true</vt:bool>
  </property>
  <property fmtid="{D5CDD505-2E9C-101B-9397-08002B2CF9AE}" pid="43" name="LittleEdian">
    <vt:bool>true</vt:bool>
  </property>
  <property fmtid="{D5CDD505-2E9C-101B-9397-08002B2CF9AE}" pid="44" name="IndexHeading">
    <vt:bool>true</vt:bool>
  </property>
  <property fmtid="{D5CDD505-2E9C-101B-9397-08002B2CF9AE}" pid="45" name="StartingIndex">
    <vt:lpwstr>1</vt:lpwstr>
  </property>
  <property fmtid="{D5CDD505-2E9C-101B-9397-08002B2CF9AE}" pid="46" name="Headings">
    <vt:bool>true</vt:bool>
  </property>
  <property fmtid="{D5CDD505-2E9C-101B-9397-08002B2CF9AE}" pid="47" name="StartingHeading">
    <vt:i4>1</vt:i4>
  </property>
  <property fmtid="{D5CDD505-2E9C-101B-9397-08002B2CF9AE}" pid="48" name="IndexTable">
    <vt:bool>true</vt:bool>
  </property>
  <property fmtid="{D5CDD505-2E9C-101B-9397-08002B2CF9AE}" pid="49" name="LimitTOC">
    <vt:bool>false</vt:bool>
  </property>
  <property fmtid="{D5CDD505-2E9C-101B-9397-08002B2CF9AE}" pid="50" name="BusWidth">
    <vt:i4>32</vt:i4>
  </property>
  <property fmtid="{D5CDD505-2E9C-101B-9397-08002B2CF9AE}" pid="51" name="CustomBusWidth">
    <vt:i4>256</vt:i4>
  </property>
  <property fmtid="{D5CDD505-2E9C-101B-9397-08002B2CF9AE}" pid="52" name="RegWidth">
    <vt:i4>32</vt:i4>
  </property>
  <property fmtid="{D5CDD505-2E9C-101B-9397-08002B2CF9AE}" pid="53" name="CustomRegWidth">
    <vt:i4>256</vt:i4>
  </property>
  <property fmtid="{D5CDD505-2E9C-101B-9397-08002B2CF9AE}" pid="54" name="AMBA">
    <vt:bool>true</vt:bool>
  </property>
  <property fmtid="{D5CDD505-2E9C-101B-9397-08002B2CF9AE}" pid="55" name="AMBAAXI">
    <vt:bool>false</vt:bool>
  </property>
  <property fmtid="{D5CDD505-2E9C-101B-9397-08002B2CF9AE}" pid="56" name="AMBAAXI4FULL">
    <vt:bool>false</vt:bool>
  </property>
  <property fmtid="{D5CDD505-2E9C-101B-9397-08002B2CF9AE}" pid="57" name="AMBAAPB">
    <vt:bool>false</vt:bool>
  </property>
  <property fmtid="{D5CDD505-2E9C-101B-9397-08002B2CF9AE}" pid="58" name="AVALON">
    <vt:bool>false</vt:bool>
  </property>
  <property fmtid="{D5CDD505-2E9C-101B-9397-08002B2CF9AE}" pid="59" name="PROPRIETARY">
    <vt:bool>false</vt:bool>
  </property>
  <property fmtid="{D5CDD505-2E9C-101B-9397-08002B2CF9AE}" pid="60" name="PreserveNames">
    <vt:bool>true</vt:bool>
  </property>
  <property fmtid="{D5CDD505-2E9C-101B-9397-08002B2CF9AE}" pid="61" name="PreserveDescInHtmlFormat">
    <vt:bool>false</vt:bool>
  </property>
  <property fmtid="{D5CDD505-2E9C-101B-9397-08002B2CF9AE}" pid="62" name="Groups">
    <vt:bool>false</vt:bool>
  </property>
  <property fmtid="{D5CDD505-2E9C-101B-9397-08002B2CF9AE}" pid="63" name="DistributedDecode">
    <vt:bool>false</vt:bool>
  </property>
  <property fmtid="{D5CDD505-2E9C-101B-9397-08002B2CF9AE}" pid="64" name="variant0">
    <vt:lpwstr>none</vt:lpwstr>
  </property>
  <property fmtid="{D5CDD505-2E9C-101B-9397-08002B2CF9AE}" pid="65" name="VERSION">
    <vt:lpwstr>IEEE 1685-2009</vt:lpwstr>
  </property>
  <property fmtid="{D5CDD505-2E9C-101B-9397-08002B2CF9AE}" pid="66" name="UNIT">
    <vt:i4>8</vt:i4>
  </property>
  <property fmtid="{D5CDD505-2E9C-101B-9397-08002B2CF9AE}" pid="67" name="CustomUNIT">
    <vt:i4>256</vt:i4>
  </property>
  <property fmtid="{D5CDD505-2E9C-101B-9397-08002B2CF9AE}" pid="68" name="HDLPATH">
    <vt:bool>false</vt:bool>
  </property>
  <property fmtid="{D5CDD505-2E9C-101B-9397-08002B2CF9AE}" pid="69" name="COVERAGE">
    <vt:bool>false</vt:bool>
  </property>
  <property fmtid="{D5CDD505-2E9C-101B-9397-08002B2CF9AE}" pid="70" name="ILLEGALBINS">
    <vt:bool>false</vt:bool>
  </property>
  <property fmtid="{D5CDD505-2E9C-101B-9397-08002B2CF9AE}" pid="71" name="CoverageGenerate">
    <vt:bool>false</vt:bool>
  </property>
  <property fmtid="{D5CDD505-2E9C-101B-9397-08002B2CF9AE}" pid="72" name="ConstraintsGenerate">
    <vt:bool>false</vt:bool>
  </property>
  <property fmtid="{D5CDD505-2E9C-101B-9397-08002B2CF9AE}" pid="73" name="OptimiseLowPower">
    <vt:bool>false</vt:bool>
  </property>
  <property fmtid="{D5CDD505-2E9C-101B-9397-08002B2CF9AE}" pid="74" name="AutoSequence">
    <vt:bool>false</vt:bool>
  </property>
  <property fmtid="{D5CDD505-2E9C-101B-9397-08002B2CF9AE}" pid="75" name="Interrupt">
    <vt:bool>false</vt:bool>
  </property>
  <property fmtid="{D5CDD505-2E9C-101B-9397-08002B2CF9AE}" pid="76" name="Mbd">
    <vt:bool>false</vt:bool>
  </property>
  <property fmtid="{D5CDD505-2E9C-101B-9397-08002B2CF9AE}" pid="77" name="CSharp">
    <vt:bool>false</vt:bool>
  </property>
  <property fmtid="{D5CDD505-2E9C-101B-9397-08002B2CF9AE}" pid="78" name="ARV_Assertion">
    <vt:bool>false</vt:bool>
  </property>
  <property fmtid="{D5CDD505-2E9C-101B-9397-08002B2CF9AE}" pid="79" name="Memory_Mapping">
    <vt:bool>false</vt:bool>
  </property>
  <property fmtid="{D5CDD505-2E9C-101B-9397-08002B2CF9AE}" pid="80" name="SV_W_intf">
    <vt:bool>true</vt:bool>
  </property>
  <property fmtid="{D5CDD505-2E9C-101B-9397-08002B2CF9AE}" pid="81" name="SV_WO_intf">
    <vt:bool>false</vt:bool>
  </property>
  <property fmtid="{D5CDD505-2E9C-101B-9397-08002B2CF9AE}" pid="82" name="SV">
    <vt:bool>false</vt:bool>
  </property>
  <property fmtid="{D5CDD505-2E9C-101B-9397-08002B2CF9AE}" pid="83" name="Amba3AhbLite">
    <vt:bool>false</vt:bool>
  </property>
  <property fmtid="{D5CDD505-2E9C-101B-9397-08002B2CF9AE}" pid="84" name="RTL_wire">
    <vt:bool>true</vt:bool>
  </property>
  <property fmtid="{D5CDD505-2E9C-101B-9397-08002B2CF9AE}" pid="85" name="Special_reg">
    <vt:bool>false</vt:bool>
  </property>
  <property fmtid="{D5CDD505-2E9C-101B-9397-08002B2CF9AE}" pid="86" name="CMSIS">
    <vt:bool>false</vt:bool>
  </property>
  <property fmtid="{D5CDD505-2E9C-101B-9397-08002B2CF9AE}" pid="87" name="sysc">
    <vt:bool>false</vt:bool>
  </property>
  <property fmtid="{D5CDD505-2E9C-101B-9397-08002B2CF9AE}" pid="88" name="syscalt2">
    <vt:bool>false</vt:bool>
  </property>
  <property fmtid="{D5CDD505-2E9C-101B-9397-08002B2CF9AE}" pid="89" name="MultiOutFile">
    <vt:bool>false</vt:bool>
  </property>
  <property fmtid="{D5CDD505-2E9C-101B-9397-08002B2CF9AE}" pid="90" name="Perl">
    <vt:bool>false</vt:bool>
  </property>
  <property fmtid="{D5CDD505-2E9C-101B-9397-08002B2CF9AE}" pid="91" name="Python">
    <vt:bool>false</vt:bool>
  </property>
  <property fmtid="{D5CDD505-2E9C-101B-9397-08002B2CF9AE}" pid="92" name="ARV">
    <vt:bool>false</vt:bool>
  </property>
  <property fmtid="{D5CDD505-2E9C-101B-9397-08002B2CF9AE}" pid="93" name="MultiOutFileUVM">
    <vt:bool>false</vt:bool>
  </property>
  <property fmtid="{D5CDD505-2E9C-101B-9397-08002B2CF9AE}" pid="94" name="CPP">
    <vt:bool>false</vt:bool>
  </property>
  <property fmtid="{D5CDD505-2E9C-101B-9397-08002B2CF9AE}" pid="95" name="WB">
    <vt:bool>false</vt:bool>
  </property>
  <property fmtid="{D5CDD505-2E9C-101B-9397-08002B2CF9AE}" pid="96" name="SPI">
    <vt:bool>false</vt:bool>
  </property>
  <property fmtid="{D5CDD505-2E9C-101B-9397-08002B2CF9AE}" pid="97" name="I2C">
    <vt:bool>false</vt:bool>
  </property>
  <property fmtid="{D5CDD505-2E9C-101B-9397-08002B2CF9AE}" pid="98" name="AddressSort">
    <vt:bool>false</vt:bool>
  </property>
  <property fmtid="{D5CDD505-2E9C-101B-9397-08002B2CF9AE}" pid="99" name="PdfAlt2">
    <vt:bool>false</vt:bool>
  </property>
  <property fmtid="{D5CDD505-2E9C-101B-9397-08002B2CF9AE}" pid="100" name="VHeader">
    <vt:bool>false</vt:bool>
  </property>
  <property fmtid="{D5CDD505-2E9C-101B-9397-08002B2CF9AE}" pid="101" name="VhdHeader">
    <vt:bool>false</vt:bool>
  </property>
  <property fmtid="{D5CDD505-2E9C-101B-9397-08002B2CF9AE}" pid="102" name="Formal">
    <vt:bool>false</vt:bool>
  </property>
  <property fmtid="{D5CDD505-2E9C-101B-9397-08002B2CF9AE}" pid="103" name="CsvHeaderChk">
    <vt:bool>false</vt:bool>
  </property>
  <property fmtid="{D5CDD505-2E9C-101B-9397-08002B2CF9AE}" pid="104" name="Rtl2001">
    <vt:bool>false</vt:bool>
  </property>
  <property fmtid="{D5CDD505-2E9C-101B-9397-08002B2CF9AE}" pid="105" name="FirmwareSequence">
    <vt:bool>false</vt:bool>
  </property>
  <property fmtid="{D5CDD505-2E9C-101B-9397-08002B2CF9AE}" pid="106" name="UVMSequence">
    <vt:bool>false</vt:bool>
  </property>
  <property fmtid="{D5CDD505-2E9C-101B-9397-08002B2CF9AE}" pid="107" name="custom_xml">
    <vt:bool>false</vt:bool>
  </property>
  <property fmtid="{D5CDD505-2E9C-101B-9397-08002B2CF9AE}" pid="108" name="HeaderMout">
    <vt:bool>false</vt:bool>
  </property>
  <property fmtid="{D5CDD505-2E9C-101B-9397-08002B2CF9AE}" pid="109" name="IssUVMMultiplier">
    <vt:lpwstr>100</vt:lpwstr>
  </property>
  <property fmtid="{D5CDD505-2E9C-101B-9397-08002B2CF9AE}" pid="110" name="IssUVMNesting">
    <vt:lpwstr>1</vt:lpwstr>
  </property>
  <property fmtid="{D5CDD505-2E9C-101B-9397-08002B2CF9AE}" pid="111" name="IssUVMArgs">
    <vt:lpwstr>int</vt:lpwstr>
  </property>
  <property fmtid="{D5CDD505-2E9C-101B-9397-08002B2CF9AE}" pid="112" name="IssUvmConstant">
    <vt:lpwstr>int</vt:lpwstr>
  </property>
  <property fmtid="{D5CDD505-2E9C-101B-9397-08002B2CF9AE}" pid="113" name="IssUVMVariable">
    <vt:lpwstr>int</vt:lpwstr>
  </property>
  <property fmtid="{D5CDD505-2E9C-101B-9397-08002B2CF9AE}" pid="114" name="IssCSVMultiplier">
    <vt:lpwstr>100</vt:lpwstr>
  </property>
  <property fmtid="{D5CDD505-2E9C-101B-9397-08002B2CF9AE}" pid="115" name="IssCSVNesting">
    <vt:lpwstr>1</vt:lpwstr>
  </property>
  <property fmtid="{D5CDD505-2E9C-101B-9397-08002B2CF9AE}" pid="116" name="IssCSVArgs">
    <vt:lpwstr>integer</vt:lpwstr>
  </property>
  <property fmtid="{D5CDD505-2E9C-101B-9397-08002B2CF9AE}" pid="117" name="IssCSVVariable">
    <vt:lpwstr>integer</vt:lpwstr>
  </property>
  <property fmtid="{D5CDD505-2E9C-101B-9397-08002B2CF9AE}" pid="118" name="IssVerilogTimeUnit1">
    <vt:lpwstr>1</vt:lpwstr>
  </property>
  <property fmtid="{D5CDD505-2E9C-101B-9397-08002B2CF9AE}" pid="119" name="IssVerilogTimeUnit2">
    <vt:lpwstr>ns</vt:lpwstr>
  </property>
  <property fmtid="{D5CDD505-2E9C-101B-9397-08002B2CF9AE}" pid="120" name="IssVerilogTimePrecision1">
    <vt:lpwstr>1</vt:lpwstr>
  </property>
  <property fmtid="{D5CDD505-2E9C-101B-9397-08002B2CF9AE}" pid="121" name="IssVerilogTimePrecision2">
    <vt:lpwstr>ns</vt:lpwstr>
  </property>
  <property fmtid="{D5CDD505-2E9C-101B-9397-08002B2CF9AE}" pid="122" name="IssVerilogConsolidatedWr">
    <vt:bool>true</vt:bool>
  </property>
  <property fmtid="{D5CDD505-2E9C-101B-9397-08002B2CF9AE}" pid="123" name="IssFirmwareConsolidatedWr">
    <vt:bool>true</vt:bool>
  </property>
  <property fmtid="{D5CDD505-2E9C-101B-9397-08002B2CF9AE}" pid="124" name="IssUvmConsolidatedWr">
    <vt:bool>true</vt:bool>
  </property>
  <property fmtid="{D5CDD505-2E9C-101B-9397-08002B2CF9AE}" pid="125" name="IssVerilogNesting">
    <vt:lpwstr>1</vt:lpwstr>
  </property>
  <property fmtid="{D5CDD505-2E9C-101B-9397-08002B2CF9AE}" pid="126" name="IssVerilogArgs">
    <vt:lpwstr>integer</vt:lpwstr>
  </property>
  <property fmtid="{D5CDD505-2E9C-101B-9397-08002B2CF9AE}" pid="127" name="IssVerilogConstant">
    <vt:lpwstr>integer</vt:lpwstr>
  </property>
  <property fmtid="{D5CDD505-2E9C-101B-9397-08002B2CF9AE}" pid="128" name="IssVerilogVariable">
    <vt:lpwstr>integer</vt:lpwstr>
  </property>
  <property fmtid="{D5CDD505-2E9C-101B-9397-08002B2CF9AE}" pid="129" name="IssVerilog">
    <vt:bool>true</vt:bool>
  </property>
  <property fmtid="{D5CDD505-2E9C-101B-9397-08002B2CF9AE}" pid="130" name="IssUVM">
    <vt:bool>true</vt:bool>
  </property>
  <property fmtid="{D5CDD505-2E9C-101B-9397-08002B2CF9AE}" pid="131" name="IssCSV">
    <vt:bool>false</vt:bool>
  </property>
  <property fmtid="{D5CDD505-2E9C-101B-9397-08002B2CF9AE}" pid="132" name="IssFirmware">
    <vt:bool>true</vt:bool>
  </property>
  <property fmtid="{D5CDD505-2E9C-101B-9397-08002B2CF9AE}" pid="133" name="IssUVMNameFormat">
    <vt:lpwstr>%s</vt:lpwstr>
  </property>
  <property fmtid="{D5CDD505-2E9C-101B-9397-08002B2CF9AE}" pid="134" name="IssVerilogNameFormat">
    <vt:lpwstr>%s</vt:lpwstr>
  </property>
  <property fmtid="{D5CDD505-2E9C-101B-9397-08002B2CF9AE}" pid="135" name="IssCsvNameFormat">
    <vt:lpwstr>%s</vt:lpwstr>
  </property>
  <property fmtid="{D5CDD505-2E9C-101B-9397-08002B2CF9AE}" pid="136" name="IssHTML">
    <vt:bool>false</vt:bool>
  </property>
  <property fmtid="{D5CDD505-2E9C-101B-9397-08002B2CF9AE}" pid="137" name="IssUvmMultiOutFile">
    <vt:bool>false</vt:bool>
  </property>
  <property fmtid="{D5CDD505-2E9C-101B-9397-08002B2CF9AE}" pid="138" name="IssVerilogMultiOutFile">
    <vt:bool>false</vt:bool>
  </property>
  <property fmtid="{D5CDD505-2E9C-101B-9397-08002B2CF9AE}" pid="139" name="IssFirmwareMultiOutFile">
    <vt:bool>false</vt:bool>
  </property>
  <property fmtid="{D5CDD505-2E9C-101B-9397-08002B2CF9AE}" pid="140" name="IssCsvMultiOutFile">
    <vt:bool>false</vt:bool>
  </property>
  <property fmtid="{D5CDD505-2E9C-101B-9397-08002B2CF9AE}" pid="141" name="IssHtmlMultiOutFile">
    <vt:bool>false</vt:bool>
  </property>
  <property fmtid="{D5CDD505-2E9C-101B-9397-08002B2CF9AE}" pid="142" name="RemoveDefVar">
    <vt:bool>false</vt:bool>
  </property>
  <property fmtid="{D5CDD505-2E9C-101B-9397-08002B2CF9AE}" pid="143" name="RemoveEnum">
    <vt:bool>false</vt:bool>
  </property>
  <property fmtid="{D5CDD505-2E9C-101B-9397-08002B2CF9AE}" pid="144" name="RemoveProp">
    <vt:bool>false</vt:bool>
  </property>
  <property fmtid="{D5CDD505-2E9C-101B-9397-08002B2CF9AE}" pid="145" name="IssMatlabNameFormat">
    <vt:lpwstr>%s</vt:lpwstr>
  </property>
  <property fmtid="{D5CDD505-2E9C-101B-9397-08002B2CF9AE}" pid="146" name="IssMatlabTimeUnit1">
    <vt:lpwstr>1</vt:lpwstr>
  </property>
  <property fmtid="{D5CDD505-2E9C-101B-9397-08002B2CF9AE}" pid="147" name="IssMatlabTimeUnit2">
    <vt:lpwstr>ns</vt:lpwstr>
  </property>
  <property fmtid="{D5CDD505-2E9C-101B-9397-08002B2CF9AE}" pid="148" name="IssMatlabTimePrecision1">
    <vt:lpwstr>1</vt:lpwstr>
  </property>
  <property fmtid="{D5CDD505-2E9C-101B-9397-08002B2CF9AE}" pid="149" name="IssMatlabTimePrecision2">
    <vt:lpwstr>ns</vt:lpwstr>
  </property>
  <property fmtid="{D5CDD505-2E9C-101B-9397-08002B2CF9AE}" pid="150" name="IssMatlabNesting">
    <vt:lpwstr>1</vt:lpwstr>
  </property>
  <property fmtid="{D5CDD505-2E9C-101B-9397-08002B2CF9AE}" pid="151" name="IssMatlabArgs">
    <vt:lpwstr>integer</vt:lpwstr>
  </property>
  <property fmtid="{D5CDD505-2E9C-101B-9397-08002B2CF9AE}" pid="152" name="IssMatlabConstant">
    <vt:lpwstr>integer</vt:lpwstr>
  </property>
  <property fmtid="{D5CDD505-2E9C-101B-9397-08002B2CF9AE}" pid="153" name="IssMatlabVariable">
    <vt:lpwstr>integer</vt:lpwstr>
  </property>
  <property fmtid="{D5CDD505-2E9C-101B-9397-08002B2CF9AE}" pid="154" name="IssMatlab">
    <vt:bool>true</vt:bool>
  </property>
  <property fmtid="{D5CDD505-2E9C-101B-9397-08002B2CF9AE}" pid="155" name="IssMatlabMultiOutFile">
    <vt:bool>false</vt:bool>
  </property>
  <property fmtid="{D5CDD505-2E9C-101B-9397-08002B2CF9AE}" pid="156" name="seq_firmware_templatename.0">
    <vt:lpwstr>default</vt:lpwstr>
  </property>
  <property fmtid="{D5CDD505-2E9C-101B-9397-08002B2CF9AE}" pid="157" name="seq_firmware_write.0">
    <vt:lpwstr>REG_WRITE(%a,%d)</vt:lpwstr>
  </property>
  <property fmtid="{D5CDD505-2E9C-101B-9397-08002B2CF9AE}" pid="158" name="seq_firmware_read.0">
    <vt:lpwstr>REG_READ(%a)</vt:lpwstr>
  </property>
  <property fmtid="{D5CDD505-2E9C-101B-9397-08002B2CF9AE}" pid="159" name="seq_firmwarefield_fieldtemplatename.0">
    <vt:lpwstr>default</vt:lpwstr>
  </property>
  <property fmtid="{D5CDD505-2E9C-101B-9397-08002B2CF9AE}" pid="160" name="seq_firmwarefield_fieldwrite.0">
    <vt:lpwstr>FIELD_WRITE(%a,%d,%m,%lsb)</vt:lpwstr>
  </property>
  <property fmtid="{D5CDD505-2E9C-101B-9397-08002B2CF9AE}" pid="161" name="seq_firmwarefield_fieldread.0">
    <vt:lpwstr>FIELD_READ(%a,%m,%lsb)</vt:lpwstr>
  </property>
  <property fmtid="{D5CDD505-2E9C-101B-9397-08002B2CF9AE}" pid="162" name="seq_matlab_templatename.0">
    <vt:lpwstr>default</vt:lpwstr>
  </property>
  <property fmtid="{D5CDD505-2E9C-101B-9397-08002B2CF9AE}" pid="163" name="seq_matlab_write.0">
    <vt:lpwstr>REG_WRITE(%a,%d)</vt:lpwstr>
  </property>
  <property fmtid="{D5CDD505-2E9C-101B-9397-08002B2CF9AE}" pid="164" name="seq_matlab_read.0">
    <vt:lpwstr>REG_READ(%a)</vt:lpwstr>
  </property>
  <property fmtid="{D5CDD505-2E9C-101B-9397-08002B2CF9AE}" pid="165" name="seq_matlab_fieldtemplatename.0">
    <vt:lpwstr>default</vt:lpwstr>
  </property>
  <property fmtid="{D5CDD505-2E9C-101B-9397-08002B2CF9AE}" pid="166" name="seq_matlab_fieldwrite.0">
    <vt:lpwstr>FIELD_WRITE(%a,%d,%m,%lsb)</vt:lpwstr>
  </property>
  <property fmtid="{D5CDD505-2E9C-101B-9397-08002B2CF9AE}" pid="167" name="seq_matlab_fieldread.0">
    <vt:lpwstr>FIELD_READ(%a,%m,%lsb)</vt:lpwstr>
  </property>
  <property fmtid="{D5CDD505-2E9C-101B-9397-08002B2CF9AE}" pid="168" name="seq_verilog_bus.0">
    <vt:lpwstr>default</vt:lpwstr>
  </property>
  <property fmtid="{D5CDD505-2E9C-101B-9397-08002B2CF9AE}" pid="169" name="seq_verilog_write.0">
    <vt:lpwstr>write_mirror(%a, %d, 0, 0)</vt:lpwstr>
  </property>
  <property fmtid="{D5CDD505-2E9C-101B-9397-08002B2CF9AE}" pid="170" name="seq_verilog_read.0">
    <vt:lpwstr>read_mirror(%a)</vt:lpwstr>
  </property>
  <property fmtid="{D5CDD505-2E9C-101B-9397-08002B2CF9AE}" pid="171" name="seq_uvm_regmodel.0">
    <vt:lpwstr>default</vt:lpwstr>
  </property>
  <property fmtid="{D5CDD505-2E9C-101B-9397-08002B2CF9AE}" pid="172" name="seq_uvm_write.0">
    <vt:lpwstr>write(status, %d, .parent(this))</vt:lpwstr>
  </property>
  <property fmtid="{D5CDD505-2E9C-101B-9397-08002B2CF9AE}" pid="173" name="seq_uvm_read.0">
    <vt:lpwstr>read(status, %lhs, .parent(this))</vt:lpwstr>
  </property>
  <property fmtid="{D5CDD505-2E9C-101B-9397-08002B2CF9AE}" pid="174" name="seq_csvcd_isscmd.0">
    <vt:lpwstr>write</vt:lpwstr>
  </property>
  <property fmtid="{D5CDD505-2E9C-101B-9397-08002B2CF9AE}" pid="175" name="seq_csvcd_cmd.0">
    <vt:lpwstr>WRITE</vt:lpwstr>
  </property>
  <property fmtid="{D5CDD505-2E9C-101B-9397-08002B2CF9AE}" pid="176" name="seq_csvcd_isscmd.1">
    <vt:lpwstr>write_1_set</vt:lpwstr>
  </property>
  <property fmtid="{D5CDD505-2E9C-101B-9397-08002B2CF9AE}" pid="177" name="seq_csvcd_cmd.1">
    <vt:lpwstr>WRITE_SET</vt:lpwstr>
  </property>
  <property fmtid="{D5CDD505-2E9C-101B-9397-08002B2CF9AE}" pid="178" name="seq_csvcd_isscmd.2">
    <vt:lpwstr>write_1_clr</vt:lpwstr>
  </property>
  <property fmtid="{D5CDD505-2E9C-101B-9397-08002B2CF9AE}" pid="179" name="seq_csvcd_cmd.2">
    <vt:lpwstr>WRITE_CLR</vt:lpwstr>
  </property>
  <property fmtid="{D5CDD505-2E9C-101B-9397-08002B2CF9AE}" pid="180" name="seq_csvcd_isscmd.3">
    <vt:lpwstr>call</vt:lpwstr>
  </property>
  <property fmtid="{D5CDD505-2E9C-101B-9397-08002B2CF9AE}" pid="181" name="seq_csvcd_cmd.3">
    <vt:lpwstr>CALL</vt:lpwstr>
  </property>
  <property fmtid="{D5CDD505-2E9C-101B-9397-08002B2CF9AE}" pid="182" name="seq_csvcd_isscmd.4">
    <vt:lpwstr>switch</vt:lpwstr>
  </property>
  <property fmtid="{D5CDD505-2E9C-101B-9397-08002B2CF9AE}" pid="183" name="seq_csvcd_cmd.4">
    <vt:lpwstr>SWITCH</vt:lpwstr>
  </property>
  <property fmtid="{D5CDD505-2E9C-101B-9397-08002B2CF9AE}" pid="184" name="seq_csvcd_isscmd.5">
    <vt:lpwstr>wait</vt:lpwstr>
  </property>
  <property fmtid="{D5CDD505-2E9C-101B-9397-08002B2CF9AE}" pid="185" name="seq_csvcd_cmd.5">
    <vt:lpwstr>WAIT</vt:lpwstr>
  </property>
  <property fmtid="{D5CDD505-2E9C-101B-9397-08002B2CF9AE}" pid="186" name="seq_csvhd_issheader.0">
    <vt:lpwstr>command</vt:lpwstr>
  </property>
  <property fmtid="{D5CDD505-2E9C-101B-9397-08002B2CF9AE}" pid="187" name="seq_csvhd_header.0">
    <vt:lpwstr>command</vt:lpwstr>
  </property>
  <property fmtid="{D5CDD505-2E9C-101B-9397-08002B2CF9AE}" pid="188" name="seq_csvhd_issheader.1">
    <vt:lpwstr>step</vt:lpwstr>
  </property>
  <property fmtid="{D5CDD505-2E9C-101B-9397-08002B2CF9AE}" pid="189" name="seq_csvhd_header.1">
    <vt:lpwstr>step</vt:lpwstr>
  </property>
  <property fmtid="{D5CDD505-2E9C-101B-9397-08002B2CF9AE}" pid="190" name="seq_csvhd_issheader.2">
    <vt:lpwstr>value</vt:lpwstr>
  </property>
  <property fmtid="{D5CDD505-2E9C-101B-9397-08002B2CF9AE}" pid="191" name="seq_csvhd_header.2">
    <vt:lpwstr>value</vt:lpwstr>
  </property>
  <property fmtid="{D5CDD505-2E9C-101B-9397-08002B2CF9AE}" pid="192" name="seq_csvhd_issheader.3">
    <vt:lpwstr>address</vt:lpwstr>
  </property>
  <property fmtid="{D5CDD505-2E9C-101B-9397-08002B2CF9AE}" pid="193" name="seq_csvhd_header.3">
    <vt:lpwstr>address</vt:lpwstr>
  </property>
  <property fmtid="{D5CDD505-2E9C-101B-9397-08002B2CF9AE}" pid="194" name="seq_csvhd_issheader.4">
    <vt:lpwstr>description</vt:lpwstr>
  </property>
  <property fmtid="{D5CDD505-2E9C-101B-9397-08002B2CF9AE}" pid="195" name="seq_csvhd_header.4">
    <vt:lpwstr>description</vt:lpwstr>
  </property>
  <property fmtid="{D5CDD505-2E9C-101B-9397-08002B2CF9AE}" pid="196" name="IDSTemplate">
    <vt:lpwstr/>
  </property>
  <property fmtid="{D5CDD505-2E9C-101B-9397-08002B2CF9AE}" pid="197" name="TemplateDir">
    <vt:lpwstr/>
  </property>
  <property fmtid="{D5CDD505-2E9C-101B-9397-08002B2CF9AE}" pid="198" name="ChipAddr">
    <vt:lpwstr/>
  </property>
  <property fmtid="{D5CDD505-2E9C-101B-9397-08002B2CF9AE}" pid="199" name="BlockAddr">
    <vt:lpwstr/>
  </property>
  <property fmtid="{D5CDD505-2E9C-101B-9397-08002B2CF9AE}" pid="200" name="RegAddr">
    <vt:lpwstr/>
  </property>
  <property fmtid="{D5CDD505-2E9C-101B-9397-08002B2CF9AE}" pid="201" name="TCL">
    <vt:lpwstr/>
  </property>
  <property fmtid="{D5CDD505-2E9C-101B-9397-08002B2CF9AE}" pid="202" name="LOCALTCL">
    <vt:lpwstr/>
  </property>
  <property fmtid="{D5CDD505-2E9C-101B-9397-08002B2CF9AE}" pid="203" name="USEROUTPUTSLOCALDIR">
    <vt:lpwstr/>
  </property>
  <property fmtid="{D5CDD505-2E9C-101B-9397-08002B2CF9AE}" pid="204" name="HideHeader">
    <vt:lpwstr/>
  </property>
  <property fmtid="{D5CDD505-2E9C-101B-9397-08002B2CF9AE}" pid="205" name="CsvProp">
    <vt:lpwstr/>
  </property>
  <property fmtid="{D5CDD505-2E9C-101B-9397-08002B2CF9AE}" pid="206" name="CustomCsvProp1">
    <vt:lpwstr/>
  </property>
  <property fmtid="{D5CDD505-2E9C-101B-9397-08002B2CF9AE}" pid="207" name="CustomCsvProp2">
    <vt:lpwstr/>
  </property>
  <property fmtid="{D5CDD505-2E9C-101B-9397-08002B2CF9AE}" pid="208" name="P_seterTclFiles">
    <vt:lpwstr/>
  </property>
  <property fmtid="{D5CDD505-2E9C-101B-9397-08002B2CF9AE}" pid="209" name="xquery_path">
    <vt:lpwstr/>
  </property>
</Properties>
</file>